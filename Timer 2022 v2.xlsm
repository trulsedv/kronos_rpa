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uls\Documents\git\kronos_rpa\"/>
    </mc:Choice>
  </mc:AlternateContent>
  <xr:revisionPtr revIDLastSave="0" documentId="13_ncr:1_{80EAB9C8-3314-4398-B143-29D38BA68124}" xr6:coauthVersionLast="47" xr6:coauthVersionMax="47" xr10:uidLastSave="{00000000-0000-0000-0000-000000000000}"/>
  <bookViews>
    <workbookView xWindow="-120" yWindow="-120" windowWidth="38640" windowHeight="21240" activeTab="1" xr2:uid="{25851E19-1F6F-496E-B2F0-F352E0D2DF45}"/>
  </bookViews>
  <sheets>
    <sheet name="__all__" sheetId="20" r:id="rId1"/>
    <sheet name="Uke 18" sheetId="1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42" i="20" l="1"/>
  <c r="A2" i="20"/>
  <c r="A3" i="20" s="1"/>
  <c r="C2" i="20"/>
  <c r="B2" i="20"/>
  <c r="P29" i="17"/>
  <c r="O29" i="17"/>
  <c r="N29" i="17"/>
  <c r="M29" i="17"/>
  <c r="L29" i="17"/>
  <c r="K29" i="17"/>
  <c r="J29" i="17"/>
  <c r="P28" i="17"/>
  <c r="O28" i="17"/>
  <c r="N28" i="17"/>
  <c r="M28" i="17"/>
  <c r="L28" i="17"/>
  <c r="K28" i="17"/>
  <c r="J28" i="17"/>
  <c r="P27" i="17"/>
  <c r="O27" i="17"/>
  <c r="N27" i="17"/>
  <c r="M27" i="17"/>
  <c r="L27" i="17"/>
  <c r="K27" i="17"/>
  <c r="J27" i="17"/>
  <c r="P26" i="17"/>
  <c r="O26" i="17"/>
  <c r="N26" i="17"/>
  <c r="M26" i="17"/>
  <c r="L26" i="17"/>
  <c r="K26" i="17"/>
  <c r="J26" i="17"/>
  <c r="P25" i="17"/>
  <c r="O25" i="17"/>
  <c r="N25" i="17"/>
  <c r="M25" i="17"/>
  <c r="L25" i="17"/>
  <c r="K25" i="17"/>
  <c r="J25" i="17"/>
  <c r="P24" i="17"/>
  <c r="O24" i="17"/>
  <c r="N24" i="17"/>
  <c r="M24" i="17"/>
  <c r="L24" i="17"/>
  <c r="K24" i="17"/>
  <c r="J24" i="17"/>
  <c r="P23" i="17"/>
  <c r="O23" i="17"/>
  <c r="N23" i="17"/>
  <c r="M23" i="17"/>
  <c r="L23" i="17"/>
  <c r="K23" i="17"/>
  <c r="J23" i="17"/>
  <c r="P22" i="17"/>
  <c r="O22" i="17"/>
  <c r="N22" i="17"/>
  <c r="M22" i="17"/>
  <c r="L22" i="17"/>
  <c r="K22" i="17"/>
  <c r="J22" i="17"/>
  <c r="P21" i="17"/>
  <c r="O21" i="17"/>
  <c r="N21" i="17"/>
  <c r="M21" i="17"/>
  <c r="L21" i="17"/>
  <c r="K21" i="17"/>
  <c r="J21" i="17"/>
  <c r="P20" i="17"/>
  <c r="O20" i="17"/>
  <c r="N20" i="17"/>
  <c r="M20" i="17"/>
  <c r="L20" i="17"/>
  <c r="K20" i="17"/>
  <c r="J20" i="17"/>
  <c r="P19" i="17"/>
  <c r="O19" i="17"/>
  <c r="N19" i="17"/>
  <c r="M19" i="17"/>
  <c r="L19" i="17"/>
  <c r="K19" i="17"/>
  <c r="J19" i="17"/>
  <c r="P18" i="17"/>
  <c r="O18" i="17"/>
  <c r="N18" i="17"/>
  <c r="M18" i="17"/>
  <c r="L18" i="17"/>
  <c r="K18" i="17"/>
  <c r="J18" i="17"/>
  <c r="P17" i="17"/>
  <c r="O17" i="17"/>
  <c r="N17" i="17"/>
  <c r="M17" i="17"/>
  <c r="L17" i="17"/>
  <c r="K17" i="17"/>
  <c r="J17" i="17"/>
  <c r="P16" i="17"/>
  <c r="O16" i="17"/>
  <c r="N16" i="17"/>
  <c r="M16" i="17"/>
  <c r="L16" i="17"/>
  <c r="K16" i="17"/>
  <c r="J16" i="17"/>
  <c r="P15" i="17"/>
  <c r="O15" i="17"/>
  <c r="N15" i="17"/>
  <c r="M15" i="17"/>
  <c r="L15" i="17"/>
  <c r="K15" i="17"/>
  <c r="J15" i="17"/>
  <c r="P14" i="17"/>
  <c r="O14" i="17"/>
  <c r="N14" i="17"/>
  <c r="M14" i="17"/>
  <c r="L14" i="17"/>
  <c r="K14" i="17"/>
  <c r="J14" i="17"/>
  <c r="P13" i="17"/>
  <c r="O13" i="17"/>
  <c r="N13" i="17"/>
  <c r="M13" i="17"/>
  <c r="L13" i="17"/>
  <c r="K13" i="17"/>
  <c r="J13" i="17"/>
  <c r="P12" i="17"/>
  <c r="O12" i="17"/>
  <c r="N12" i="17"/>
  <c r="M12" i="17"/>
  <c r="L12" i="17"/>
  <c r="K12" i="17"/>
  <c r="J12" i="17"/>
  <c r="P11" i="17"/>
  <c r="O11" i="17"/>
  <c r="N11" i="17"/>
  <c r="M11" i="17"/>
  <c r="L11" i="17"/>
  <c r="K11" i="17"/>
  <c r="J11" i="17"/>
  <c r="P10" i="17"/>
  <c r="O10" i="17"/>
  <c r="N10" i="17"/>
  <c r="M10" i="17"/>
  <c r="L10" i="17"/>
  <c r="K10" i="17"/>
  <c r="J10" i="17"/>
  <c r="C8" i="17"/>
  <c r="D8" i="17" s="1"/>
  <c r="E8" i="17" s="1"/>
  <c r="F8" i="17" s="1"/>
  <c r="G8" i="17" s="1"/>
  <c r="H8" i="17" s="1"/>
  <c r="I8" i="17" s="1"/>
  <c r="I7" i="17"/>
  <c r="H7" i="17"/>
  <c r="G7" i="17"/>
  <c r="F7" i="17"/>
  <c r="E7" i="17"/>
  <c r="D7" i="17"/>
  <c r="C7" i="17"/>
  <c r="I6" i="17"/>
  <c r="H6" i="17"/>
  <c r="G6" i="17"/>
  <c r="F6" i="17"/>
  <c r="E6" i="17"/>
  <c r="D6" i="17"/>
  <c r="C6" i="17"/>
  <c r="E2" i="20" a="1"/>
  <c r="D2" i="20" a="1"/>
  <c r="Y149" i="17" l="1"/>
  <c r="E2" i="20"/>
  <c r="D2" i="20"/>
  <c r="A4" i="20"/>
  <c r="C3" i="20"/>
  <c r="B3" i="20"/>
  <c r="AE149" i="17"/>
  <c r="Z149" i="17"/>
  <c r="M6" i="17"/>
  <c r="P6" i="17"/>
  <c r="N6" i="17"/>
  <c r="L6" i="17"/>
  <c r="K6" i="17"/>
  <c r="O6" i="17"/>
  <c r="E3" i="20" a="1"/>
  <c r="D3" i="20" a="1"/>
  <c r="D3" i="20" l="1"/>
  <c r="E3" i="20"/>
  <c r="B4" i="20"/>
  <c r="A5" i="20"/>
  <c r="C4" i="20"/>
  <c r="U149" i="17" a="1"/>
  <c r="U149" i="17" s="1"/>
  <c r="AA149" i="17"/>
  <c r="AD149" i="17"/>
  <c r="Y61" i="17"/>
  <c r="Y54" i="17"/>
  <c r="Y11" i="17"/>
  <c r="Y21" i="17"/>
  <c r="Y57" i="17"/>
  <c r="Y132" i="17"/>
  <c r="Y51" i="17"/>
  <c r="Y76" i="17"/>
  <c r="Y144" i="17"/>
  <c r="Y50" i="17"/>
  <c r="Y125" i="17"/>
  <c r="Y108" i="17"/>
  <c r="Y82" i="17"/>
  <c r="Y111" i="17"/>
  <c r="Y145" i="17"/>
  <c r="Y75" i="17"/>
  <c r="Y99" i="17"/>
  <c r="Y122" i="17"/>
  <c r="Y47" i="17"/>
  <c r="Y92" i="17"/>
  <c r="Y148" i="17"/>
  <c r="T149" i="17" s="1" a="1"/>
  <c r="T149" i="17" s="1"/>
  <c r="Y63" i="17"/>
  <c r="Y64" i="17"/>
  <c r="Y127" i="17"/>
  <c r="Y17" i="17"/>
  <c r="Y43" i="17"/>
  <c r="Y119" i="17"/>
  <c r="Y134" i="17"/>
  <c r="Y69" i="17"/>
  <c r="Y85" i="17"/>
  <c r="Y81" i="17"/>
  <c r="Y96" i="17"/>
  <c r="T76" i="17" a="1"/>
  <c r="T76" i="17" s="1"/>
  <c r="Y52" i="17"/>
  <c r="Y102" i="17"/>
  <c r="Y110" i="17"/>
  <c r="Y41" i="17"/>
  <c r="Y97" i="17"/>
  <c r="Y129" i="17"/>
  <c r="Y146" i="17"/>
  <c r="Y77" i="17"/>
  <c r="T77" i="17" s="1" a="1"/>
  <c r="T77" i="17" s="1"/>
  <c r="Y45" i="17"/>
  <c r="Y62" i="17"/>
  <c r="Y74" i="17"/>
  <c r="Y106" i="17"/>
  <c r="Y137" i="17"/>
  <c r="Y49" i="17"/>
  <c r="Y73" i="17"/>
  <c r="Y121" i="17"/>
  <c r="Y89" i="17"/>
  <c r="Y130" i="17"/>
  <c r="Y66" i="17"/>
  <c r="Y91" i="17"/>
  <c r="W91" i="17" s="1"/>
  <c r="Y124" i="17"/>
  <c r="Y139" i="17"/>
  <c r="Y53" i="17"/>
  <c r="Y84" i="17"/>
  <c r="Y59" i="17"/>
  <c r="Y56" i="17"/>
  <c r="Y118" i="17"/>
  <c r="Y104" i="17"/>
  <c r="Y39" i="17"/>
  <c r="Y44" i="17"/>
  <c r="Y83" i="17"/>
  <c r="Y98" i="17"/>
  <c r="Y138" i="17"/>
  <c r="Y55" i="17"/>
  <c r="Y48" i="17"/>
  <c r="Y72" i="17"/>
  <c r="Y95" i="17"/>
  <c r="Y87" i="17"/>
  <c r="Y143" i="17"/>
  <c r="Y42" i="17"/>
  <c r="T43" i="17" s="1" a="1"/>
  <c r="T43" i="17" s="1"/>
  <c r="Y67" i="17"/>
  <c r="Y60" i="17"/>
  <c r="Y80" i="17"/>
  <c r="Y90" i="17"/>
  <c r="Y117" i="17"/>
  <c r="Y135" i="17"/>
  <c r="Y142" i="17"/>
  <c r="Y71" i="17"/>
  <c r="Y86" i="17"/>
  <c r="Y46" i="17"/>
  <c r="Y103" i="17"/>
  <c r="Y94" i="17"/>
  <c r="Y109" i="17"/>
  <c r="Y70" i="17"/>
  <c r="Y79" i="17"/>
  <c r="Y93" i="17"/>
  <c r="T93" i="17" s="1" a="1"/>
  <c r="T93" i="17" s="1"/>
  <c r="Y114" i="17"/>
  <c r="Y136" i="17"/>
  <c r="Y101" i="17"/>
  <c r="Y112" i="17"/>
  <c r="Y105" i="17"/>
  <c r="Y126" i="17"/>
  <c r="Y40" i="17"/>
  <c r="Y78" i="17"/>
  <c r="Y88" i="17"/>
  <c r="Y115" i="17"/>
  <c r="Y123" i="17"/>
  <c r="Y133" i="17"/>
  <c r="Y68" i="17"/>
  <c r="Y116" i="17"/>
  <c r="Y131" i="17"/>
  <c r="Y141" i="17"/>
  <c r="Y65" i="17"/>
  <c r="Y58" i="17"/>
  <c r="Y100" i="17"/>
  <c r="Y120" i="17"/>
  <c r="Y113" i="17"/>
  <c r="Y107" i="17"/>
  <c r="Y128" i="17"/>
  <c r="W127" i="17" s="1"/>
  <c r="Y147" i="17"/>
  <c r="Y140" i="17"/>
  <c r="Y38" i="17"/>
  <c r="Y12" i="17"/>
  <c r="Y29" i="17"/>
  <c r="Y37" i="17"/>
  <c r="Y36" i="17"/>
  <c r="Y20" i="17"/>
  <c r="Y14" i="17"/>
  <c r="Y32" i="17"/>
  <c r="Y19" i="17"/>
  <c r="Y16" i="17"/>
  <c r="Y27" i="17"/>
  <c r="Y35" i="17"/>
  <c r="Y24" i="17"/>
  <c r="Y26" i="17"/>
  <c r="Y25" i="17"/>
  <c r="Y33" i="17"/>
  <c r="Y22" i="17"/>
  <c r="Y30" i="17"/>
  <c r="Y15" i="17"/>
  <c r="Y23" i="17"/>
  <c r="Y31" i="17"/>
  <c r="Y28" i="17"/>
  <c r="Y34" i="17"/>
  <c r="Y18" i="17"/>
  <c r="Y10" i="17"/>
  <c r="Y13" i="17"/>
  <c r="D4" i="20" a="1"/>
  <c r="E4" i="20" a="1"/>
  <c r="E4" i="20" l="1"/>
  <c r="D4" i="20"/>
  <c r="T64" i="17" a="1"/>
  <c r="T64" i="17" s="1"/>
  <c r="W134" i="17"/>
  <c r="W95" i="17"/>
  <c r="W23" i="17"/>
  <c r="T36" i="17" a="1"/>
  <c r="T36" i="17" s="1"/>
  <c r="T148" i="17" a="1"/>
  <c r="T148" i="17" s="1"/>
  <c r="C5" i="20"/>
  <c r="B5" i="20"/>
  <c r="A6" i="20"/>
  <c r="W57" i="17"/>
  <c r="T57" i="17" a="1"/>
  <c r="T57" i="17" s="1"/>
  <c r="T18" i="17" a="1"/>
  <c r="T18" i="17" s="1"/>
  <c r="W81" i="17"/>
  <c r="W63" i="17"/>
  <c r="T145" i="17" a="1"/>
  <c r="T145" i="17" s="1"/>
  <c r="W50" i="17"/>
  <c r="T112" i="17" a="1"/>
  <c r="T112" i="17" s="1"/>
  <c r="V149" i="17" a="1"/>
  <c r="V149" i="17" s="1"/>
  <c r="AB149" i="17" a="1"/>
  <c r="AB149" i="17" s="1"/>
  <c r="AC149" i="17" s="1"/>
  <c r="W149" i="17" s="1"/>
  <c r="T51" i="17" a="1"/>
  <c r="T51" i="17" s="1"/>
  <c r="T27" i="17" a="1"/>
  <c r="T27" i="17" s="1"/>
  <c r="T12" i="17" a="1"/>
  <c r="T12" i="17" s="1"/>
  <c r="W122" i="17"/>
  <c r="W92" i="17"/>
  <c r="T50" i="17" a="1"/>
  <c r="T50" i="17" s="1"/>
  <c r="W144" i="17"/>
  <c r="T126" i="17" a="1"/>
  <c r="T126" i="17" s="1"/>
  <c r="W51" i="17"/>
  <c r="T22" i="17" a="1"/>
  <c r="T22" i="17" s="1"/>
  <c r="W19" i="17"/>
  <c r="T47" i="17" a="1"/>
  <c r="T47" i="17" s="1"/>
  <c r="T123" i="17" a="1"/>
  <c r="T123" i="17" s="1"/>
  <c r="T135" i="17" a="1"/>
  <c r="T135" i="17" s="1"/>
  <c r="T34" i="17" a="1"/>
  <c r="T34" i="17" s="1"/>
  <c r="W42" i="17"/>
  <c r="T82" i="17" a="1"/>
  <c r="T82" i="17" s="1"/>
  <c r="T13" i="17" a="1"/>
  <c r="T13" i="17" s="1"/>
  <c r="W75" i="17"/>
  <c r="W113" i="17"/>
  <c r="T114" i="17" a="1"/>
  <c r="T114" i="17" s="1"/>
  <c r="AE113" i="17"/>
  <c r="W67" i="17"/>
  <c r="AE68" i="17"/>
  <c r="W68" i="17"/>
  <c r="W105" i="17"/>
  <c r="AE105" i="17"/>
  <c r="T106" i="17" a="1"/>
  <c r="T106" i="17" s="1"/>
  <c r="T110" i="17" a="1"/>
  <c r="T110" i="17" s="1"/>
  <c r="AE109" i="17"/>
  <c r="W117" i="17"/>
  <c r="AE117" i="17"/>
  <c r="T118" i="17" a="1"/>
  <c r="T118" i="17" s="1"/>
  <c r="AE138" i="17"/>
  <c r="AE59" i="17"/>
  <c r="T60" i="17" a="1"/>
  <c r="T60" i="17" s="1"/>
  <c r="W66" i="17"/>
  <c r="T67" i="17" a="1"/>
  <c r="T67" i="17" s="1"/>
  <c r="AE66" i="17"/>
  <c r="W145" i="17"/>
  <c r="W146" i="17"/>
  <c r="AE146" i="17"/>
  <c r="AE125" i="17"/>
  <c r="AE76" i="17"/>
  <c r="AE145" i="17"/>
  <c r="AE120" i="17"/>
  <c r="W119" i="17"/>
  <c r="T133" i="17" a="1"/>
  <c r="T133" i="17" s="1"/>
  <c r="T134" i="17" a="1"/>
  <c r="T134" i="17" s="1"/>
  <c r="W133" i="17"/>
  <c r="AE133" i="17"/>
  <c r="W112" i="17"/>
  <c r="T113" i="17" a="1"/>
  <c r="T113" i="17" s="1"/>
  <c r="AE112" i="17"/>
  <c r="T95" i="17" a="1"/>
  <c r="T95" i="17" s="1"/>
  <c r="W94" i="17"/>
  <c r="AE94" i="17"/>
  <c r="AE71" i="17"/>
  <c r="W90" i="17"/>
  <c r="T91" i="17" a="1"/>
  <c r="T91" i="17" s="1"/>
  <c r="AE90" i="17"/>
  <c r="T72" i="17" a="1"/>
  <c r="T72" i="17" s="1"/>
  <c r="W72" i="17"/>
  <c r="T73" i="17" a="1"/>
  <c r="T73" i="17" s="1"/>
  <c r="AE72" i="17"/>
  <c r="T105" i="17" a="1"/>
  <c r="T105" i="17" s="1"/>
  <c r="W104" i="17"/>
  <c r="AE104" i="17"/>
  <c r="AE51" i="17"/>
  <c r="W85" i="17"/>
  <c r="Z50" i="17"/>
  <c r="T121" i="17" a="1"/>
  <c r="T121" i="17" s="1"/>
  <c r="AE121" i="17"/>
  <c r="W121" i="17"/>
  <c r="T122" i="17" a="1"/>
  <c r="T122" i="17" s="1"/>
  <c r="W62" i="17"/>
  <c r="T63" i="17" a="1"/>
  <c r="T63" i="17" s="1"/>
  <c r="W61" i="17"/>
  <c r="AE62" i="17"/>
  <c r="T111" i="17" a="1"/>
  <c r="T111" i="17" s="1"/>
  <c r="Z110" i="17"/>
  <c r="AE110" i="17"/>
  <c r="AE82" i="17"/>
  <c r="AE63" i="17"/>
  <c r="AE61" i="17"/>
  <c r="AE148" i="17"/>
  <c r="AE111" i="17"/>
  <c r="T29" i="17" a="1"/>
  <c r="T29" i="17" s="1"/>
  <c r="T30" i="17" a="1"/>
  <c r="T30" i="17" s="1"/>
  <c r="W26" i="17"/>
  <c r="W128" i="17"/>
  <c r="AE128" i="17"/>
  <c r="W99" i="17"/>
  <c r="AE100" i="17"/>
  <c r="T101" i="17" a="1"/>
  <c r="T101" i="17" s="1"/>
  <c r="T100" i="17" a="1"/>
  <c r="T100" i="17" s="1"/>
  <c r="W131" i="17"/>
  <c r="AE131" i="17"/>
  <c r="T132" i="17" a="1"/>
  <c r="T132" i="17" s="1"/>
  <c r="W123" i="17"/>
  <c r="AE123" i="17"/>
  <c r="T40" i="17" a="1"/>
  <c r="T40" i="17" s="1"/>
  <c r="W40" i="17"/>
  <c r="T41" i="17" a="1"/>
  <c r="T41" i="17" s="1"/>
  <c r="W100" i="17"/>
  <c r="W101" i="17"/>
  <c r="AE101" i="17"/>
  <c r="T102" i="17" a="1"/>
  <c r="T102" i="17" s="1"/>
  <c r="AE79" i="17"/>
  <c r="W79" i="17"/>
  <c r="AE103" i="17"/>
  <c r="T104" i="17" a="1"/>
  <c r="T104" i="17" s="1"/>
  <c r="W141" i="17"/>
  <c r="AE142" i="17"/>
  <c r="W142" i="17"/>
  <c r="T80" i="17" a="1"/>
  <c r="T80" i="17" s="1"/>
  <c r="T81" i="17" a="1"/>
  <c r="T81" i="17" s="1"/>
  <c r="AE80" i="17"/>
  <c r="W80" i="17"/>
  <c r="T143" i="17" a="1"/>
  <c r="T143" i="17" s="1"/>
  <c r="T144" i="17" a="1"/>
  <c r="T144" i="17" s="1"/>
  <c r="AE143" i="17"/>
  <c r="W143" i="17"/>
  <c r="T48" i="17" a="1"/>
  <c r="T48" i="17" s="1"/>
  <c r="W48" i="17"/>
  <c r="T49" i="17" a="1"/>
  <c r="T49" i="17" s="1"/>
  <c r="W83" i="17"/>
  <c r="AE83" i="17"/>
  <c r="T119" i="17" a="1"/>
  <c r="T119" i="17" s="1"/>
  <c r="AE118" i="17"/>
  <c r="T84" i="17" a="1"/>
  <c r="T84" i="17" s="1"/>
  <c r="T85" i="17" a="1"/>
  <c r="T85" i="17" s="1"/>
  <c r="AE84" i="17"/>
  <c r="T92" i="17" a="1"/>
  <c r="T92" i="17" s="1"/>
  <c r="AE91" i="17"/>
  <c r="W130" i="17"/>
  <c r="T131" i="17" a="1"/>
  <c r="T131" i="17" s="1"/>
  <c r="Z130" i="17"/>
  <c r="AE130" i="17"/>
  <c r="T146" i="17" a="1"/>
  <c r="T146" i="17" s="1"/>
  <c r="Z111" i="17"/>
  <c r="Z112" i="17" s="1"/>
  <c r="AE50" i="17"/>
  <c r="W118" i="17"/>
  <c r="AE69" i="17"/>
  <c r="W73" i="17"/>
  <c r="AE73" i="17"/>
  <c r="T74" i="17" a="1"/>
  <c r="T74" i="17" s="1"/>
  <c r="T137" i="17" a="1"/>
  <c r="T137" i="17" s="1"/>
  <c r="T138" i="17" a="1"/>
  <c r="T138" i="17" s="1"/>
  <c r="AE137" i="17"/>
  <c r="W137" i="17"/>
  <c r="W45" i="17"/>
  <c r="T46" i="17" a="1"/>
  <c r="T46" i="17" s="1"/>
  <c r="T98" i="17" a="1"/>
  <c r="T98" i="17" s="1"/>
  <c r="AE97" i="17"/>
  <c r="W97" i="17"/>
  <c r="T103" i="17" a="1"/>
  <c r="T103" i="17" s="1"/>
  <c r="AE102" i="17"/>
  <c r="W102" i="17"/>
  <c r="W46" i="17"/>
  <c r="T97" i="17" a="1"/>
  <c r="T97" i="17" s="1"/>
  <c r="W82" i="17"/>
  <c r="T120" i="17" a="1"/>
  <c r="T120" i="17" s="1"/>
  <c r="W140" i="17"/>
  <c r="T141" i="17" a="1"/>
  <c r="T141" i="17" s="1"/>
  <c r="AE140" i="17"/>
  <c r="T65" i="17" a="1"/>
  <c r="T65" i="17" s="1"/>
  <c r="T66" i="17" a="1"/>
  <c r="T66" i="17" s="1"/>
  <c r="AE65" i="17"/>
  <c r="W65" i="17"/>
  <c r="W64" i="17"/>
  <c r="W87" i="17"/>
  <c r="W88" i="17"/>
  <c r="T89" i="17" a="1"/>
  <c r="T89" i="17" s="1"/>
  <c r="AE88" i="17"/>
  <c r="AE114" i="17"/>
  <c r="T115" i="17" a="1"/>
  <c r="T115" i="17" s="1"/>
  <c r="W86" i="17"/>
  <c r="AE86" i="17"/>
  <c r="T87" i="17" a="1"/>
  <c r="T87" i="17" s="1"/>
  <c r="AE67" i="17"/>
  <c r="T68" i="17" a="1"/>
  <c r="T68" i="17" s="1"/>
  <c r="T96" i="17" a="1"/>
  <c r="T96" i="17" s="1"/>
  <c r="AE95" i="17"/>
  <c r="T139" i="17" a="1"/>
  <c r="T139" i="17" s="1"/>
  <c r="AE139" i="17"/>
  <c r="W139" i="17"/>
  <c r="T140" i="17" a="1"/>
  <c r="T140" i="17" s="1"/>
  <c r="AE64" i="17"/>
  <c r="T86" i="17" a="1"/>
  <c r="T86" i="17" s="1"/>
  <c r="AE81" i="17"/>
  <c r="T69" i="17" a="1"/>
  <c r="T69" i="17" s="1"/>
  <c r="W74" i="17"/>
  <c r="AE74" i="17"/>
  <c r="T75" i="17" a="1"/>
  <c r="T75" i="17" s="1"/>
  <c r="W41" i="17"/>
  <c r="T42" i="17" a="1"/>
  <c r="T42" i="17" s="1"/>
  <c r="AE57" i="17"/>
  <c r="T147" i="17" a="1"/>
  <c r="T147" i="17" s="1"/>
  <c r="AE147" i="17"/>
  <c r="AE141" i="17"/>
  <c r="T142" i="17" a="1"/>
  <c r="T142" i="17" s="1"/>
  <c r="W78" i="17"/>
  <c r="T79" i="17" a="1"/>
  <c r="T79" i="17" s="1"/>
  <c r="AE78" i="17"/>
  <c r="W93" i="17"/>
  <c r="T94" i="17" a="1"/>
  <c r="T94" i="17" s="1"/>
  <c r="AE93" i="17"/>
  <c r="W98" i="17"/>
  <c r="AE98" i="17"/>
  <c r="T99" i="17" a="1"/>
  <c r="T99" i="17" s="1"/>
  <c r="AE96" i="17"/>
  <c r="T124" i="17" a="1"/>
  <c r="T124" i="17" s="1"/>
  <c r="W124" i="17"/>
  <c r="AE124" i="17"/>
  <c r="W111" i="17"/>
  <c r="AE119" i="17"/>
  <c r="T109" i="17" a="1"/>
  <c r="T109" i="17" s="1"/>
  <c r="T129" i="17" a="1"/>
  <c r="T129" i="17" s="1"/>
  <c r="T130" i="17" a="1"/>
  <c r="T130" i="17" s="1"/>
  <c r="AE129" i="17"/>
  <c r="AE108" i="17"/>
  <c r="T125" i="17" a="1"/>
  <c r="T125" i="17" s="1"/>
  <c r="AE134" i="17"/>
  <c r="AE54" i="17"/>
  <c r="W108" i="17"/>
  <c r="T25" i="17" a="1"/>
  <c r="T25" i="17" s="1"/>
  <c r="T39" i="17" a="1"/>
  <c r="T39" i="17" s="1"/>
  <c r="W106" i="17"/>
  <c r="T108" i="17" a="1"/>
  <c r="T108" i="17" s="1"/>
  <c r="W107" i="17"/>
  <c r="AE107" i="17"/>
  <c r="W58" i="17"/>
  <c r="T59" i="17" a="1"/>
  <c r="T59" i="17" s="1"/>
  <c r="AE58" i="17"/>
  <c r="T58" i="17" a="1"/>
  <c r="T58" i="17" s="1"/>
  <c r="W116" i="17"/>
  <c r="T117" i="17" a="1"/>
  <c r="T117" i="17" s="1"/>
  <c r="AE116" i="17"/>
  <c r="W114" i="17"/>
  <c r="T116" i="17" a="1"/>
  <c r="T116" i="17" s="1"/>
  <c r="W115" i="17"/>
  <c r="AE115" i="17"/>
  <c r="W126" i="17"/>
  <c r="AE126" i="17"/>
  <c r="W125" i="17"/>
  <c r="T127" i="17" a="1"/>
  <c r="T127" i="17" s="1"/>
  <c r="W135" i="17"/>
  <c r="AE136" i="17"/>
  <c r="W136" i="17"/>
  <c r="W70" i="17"/>
  <c r="T71" i="17" a="1"/>
  <c r="T71" i="17" s="1"/>
  <c r="Z70" i="17"/>
  <c r="Z71" i="17" s="1"/>
  <c r="Z72" i="17" s="1"/>
  <c r="AE70" i="17"/>
  <c r="AE135" i="17"/>
  <c r="T136" i="17" a="1"/>
  <c r="T136" i="17" s="1"/>
  <c r="W59" i="17"/>
  <c r="AE60" i="17"/>
  <c r="W60" i="17"/>
  <c r="T88" i="17" a="1"/>
  <c r="T88" i="17" s="1"/>
  <c r="AE87" i="17"/>
  <c r="W54" i="17"/>
  <c r="AE55" i="17"/>
  <c r="W55" i="17"/>
  <c r="T56" i="17" a="1"/>
  <c r="T56" i="17" s="1"/>
  <c r="T44" i="17" a="1"/>
  <c r="T44" i="17" s="1"/>
  <c r="T45" i="17" a="1"/>
  <c r="T45" i="17" s="1"/>
  <c r="W44" i="17"/>
  <c r="W43" i="17"/>
  <c r="AE56" i="17"/>
  <c r="W53" i="17"/>
  <c r="T54" i="17" a="1"/>
  <c r="T54" i="17" s="1"/>
  <c r="AE53" i="17"/>
  <c r="Z90" i="17"/>
  <c r="Z91" i="17" s="1"/>
  <c r="AE89" i="17"/>
  <c r="T90" i="17" a="1"/>
  <c r="T90" i="17" s="1"/>
  <c r="AE127" i="17"/>
  <c r="T55" i="17" a="1"/>
  <c r="T55" i="17" s="1"/>
  <c r="W110" i="17"/>
  <c r="AE85" i="17"/>
  <c r="AE99" i="17"/>
  <c r="T128" i="17" a="1"/>
  <c r="T128" i="17" s="1"/>
  <c r="AE92" i="17"/>
  <c r="T70" i="17" a="1"/>
  <c r="T70" i="17" s="1"/>
  <c r="T62" i="17" a="1"/>
  <c r="T62" i="17" s="1"/>
  <c r="AE106" i="17"/>
  <c r="T107" i="17" a="1"/>
  <c r="T107" i="17" s="1"/>
  <c r="AE77" i="17"/>
  <c r="W77" i="17"/>
  <c r="T78" i="17" a="1"/>
  <c r="T78" i="17" s="1"/>
  <c r="T83" i="17" a="1"/>
  <c r="T83" i="17" s="1"/>
  <c r="T52" i="17" a="1"/>
  <c r="T52" i="17" s="1"/>
  <c r="T53" i="17" a="1"/>
  <c r="T53" i="17" s="1"/>
  <c r="W52" i="17"/>
  <c r="AE52" i="17"/>
  <c r="W47" i="17"/>
  <c r="W76" i="17"/>
  <c r="T61" i="17" a="1"/>
  <c r="T61" i="17" s="1"/>
  <c r="AE132" i="17"/>
  <c r="W96" i="17"/>
  <c r="AE144" i="17"/>
  <c r="AE122" i="17"/>
  <c r="AE75" i="17"/>
  <c r="W34" i="17"/>
  <c r="T35" i="17" a="1"/>
  <c r="T35" i="17" s="1"/>
  <c r="W35" i="17"/>
  <c r="T24" i="17" a="1"/>
  <c r="T24" i="17" s="1"/>
  <c r="T19" i="17" a="1"/>
  <c r="T19" i="17" s="1"/>
  <c r="T15" i="17" a="1"/>
  <c r="T15" i="17" s="1"/>
  <c r="W18" i="17"/>
  <c r="W37" i="17"/>
  <c r="T38" i="17" a="1"/>
  <c r="T38" i="17" s="1"/>
  <c r="W31" i="17"/>
  <c r="T23" i="17" a="1"/>
  <c r="T23" i="17" s="1"/>
  <c r="T28" i="17" a="1"/>
  <c r="T28" i="17" s="1"/>
  <c r="W28" i="17"/>
  <c r="T32" i="17" a="1"/>
  <c r="T32" i="17" s="1"/>
  <c r="T26" i="17" a="1"/>
  <c r="T26" i="17" s="1"/>
  <c r="T37" i="17" a="1"/>
  <c r="T37" i="17" s="1"/>
  <c r="W24" i="17"/>
  <c r="T21" i="17" a="1"/>
  <c r="T21" i="17" s="1"/>
  <c r="T17" i="17" a="1"/>
  <c r="T17" i="17" s="1"/>
  <c r="W25" i="17"/>
  <c r="T33" i="17" a="1"/>
  <c r="T33" i="17" s="1"/>
  <c r="W33" i="17"/>
  <c r="W21" i="17"/>
  <c r="W20" i="17"/>
  <c r="W22" i="17"/>
  <c r="W36" i="17"/>
  <c r="T31" i="17" a="1"/>
  <c r="T31" i="17" s="1"/>
  <c r="W32" i="17"/>
  <c r="T16" i="17" a="1"/>
  <c r="T16" i="17" s="1"/>
  <c r="T20" i="17" a="1"/>
  <c r="T20" i="17" s="1"/>
  <c r="W30" i="17"/>
  <c r="W27" i="17"/>
  <c r="T14" i="17" a="1"/>
  <c r="T14" i="17" s="1"/>
  <c r="T10" i="17" a="1"/>
  <c r="T10" i="17" s="1"/>
  <c r="T11" i="17" a="1"/>
  <c r="T11" i="17" s="1"/>
  <c r="Z10" i="17"/>
  <c r="Z11" i="17" s="1"/>
  <c r="E5" i="20" a="1"/>
  <c r="D5" i="20" a="1"/>
  <c r="D5" i="20" l="1"/>
  <c r="E5" i="20"/>
  <c r="B6" i="20"/>
  <c r="A7" i="20"/>
  <c r="C6" i="20"/>
  <c r="AA71" i="17"/>
  <c r="AD71" i="17"/>
  <c r="AA112" i="17"/>
  <c r="AD112" i="17"/>
  <c r="AA70" i="17"/>
  <c r="U70" i="17" a="1"/>
  <c r="U70" i="17" s="1"/>
  <c r="AD70" i="17"/>
  <c r="AD111" i="17"/>
  <c r="AA111" i="17"/>
  <c r="AA130" i="17"/>
  <c r="U130" i="17" a="1"/>
  <c r="U130" i="17" s="1"/>
  <c r="AD130" i="17"/>
  <c r="AD72" i="17"/>
  <c r="AA72" i="17"/>
  <c r="Z73" i="17"/>
  <c r="Z113" i="17"/>
  <c r="AD91" i="17"/>
  <c r="Z92" i="17"/>
  <c r="AA91" i="17"/>
  <c r="U110" i="17" a="1"/>
  <c r="U110" i="17" s="1"/>
  <c r="AA110" i="17"/>
  <c r="AD110" i="17"/>
  <c r="AA50" i="17"/>
  <c r="U50" i="17" a="1"/>
  <c r="U50" i="17" s="1"/>
  <c r="AD50" i="17"/>
  <c r="Z51" i="17"/>
  <c r="AA90" i="17"/>
  <c r="U90" i="17" a="1"/>
  <c r="U90" i="17" s="1"/>
  <c r="AD90" i="17"/>
  <c r="Z131" i="17"/>
  <c r="W148" i="17"/>
  <c r="W71" i="17"/>
  <c r="AD11" i="17"/>
  <c r="Z12" i="17"/>
  <c r="AA11" i="17"/>
  <c r="V11" i="17" s="1" a="1"/>
  <c r="V11" i="17" s="1"/>
  <c r="U10" i="17" a="1"/>
  <c r="U10" i="17" s="1"/>
  <c r="AA10" i="17"/>
  <c r="AD10" i="17"/>
  <c r="E6" i="20" a="1"/>
  <c r="D6" i="20" a="1"/>
  <c r="D6" i="20" l="1"/>
  <c r="E6" i="20"/>
  <c r="C7" i="20"/>
  <c r="B7" i="20"/>
  <c r="A8" i="20"/>
  <c r="AA113" i="17"/>
  <c r="Z114" i="17"/>
  <c r="AD113" i="17"/>
  <c r="AB90" i="17" a="1"/>
  <c r="AB90" i="17" s="1"/>
  <c r="V90" i="17" a="1"/>
  <c r="V90" i="17" s="1"/>
  <c r="V91" i="17" a="1"/>
  <c r="V91" i="17" s="1"/>
  <c r="AB91" i="17" a="1"/>
  <c r="AB91" i="17" s="1"/>
  <c r="V70" i="17" a="1"/>
  <c r="V70" i="17" s="1"/>
  <c r="AB70" i="17" a="1"/>
  <c r="AB70" i="17" s="1"/>
  <c r="AA131" i="17"/>
  <c r="AD131" i="17"/>
  <c r="Z132" i="17"/>
  <c r="Z52" i="17"/>
  <c r="AA51" i="17"/>
  <c r="AD51" i="17"/>
  <c r="AA92" i="17"/>
  <c r="AD92" i="17"/>
  <c r="Z93" i="17"/>
  <c r="AB71" i="17" a="1"/>
  <c r="AB71" i="17" s="1"/>
  <c r="AC71" i="17" s="1"/>
  <c r="V71" i="17" a="1"/>
  <c r="V71" i="17" s="1"/>
  <c r="AB50" i="17" a="1"/>
  <c r="AB50" i="17" s="1"/>
  <c r="V50" i="17" a="1"/>
  <c r="V50" i="17" s="1"/>
  <c r="AA73" i="17"/>
  <c r="Z74" i="17"/>
  <c r="AD73" i="17"/>
  <c r="AB111" i="17" a="1"/>
  <c r="AB111" i="17" s="1"/>
  <c r="V111" i="17" a="1"/>
  <c r="V111" i="17" s="1"/>
  <c r="V110" i="17" a="1"/>
  <c r="V110" i="17" s="1"/>
  <c r="AB110" i="17" a="1"/>
  <c r="AB110" i="17" s="1"/>
  <c r="AB72" i="17" a="1"/>
  <c r="AB72" i="17" s="1"/>
  <c r="V72" i="17" a="1"/>
  <c r="V72" i="17" s="1"/>
  <c r="V130" i="17" a="1"/>
  <c r="V130" i="17" s="1"/>
  <c r="AB130" i="17" a="1"/>
  <c r="AB130" i="17" s="1"/>
  <c r="V112" i="17" a="1"/>
  <c r="V112" i="17" s="1"/>
  <c r="AB112" i="17" a="1"/>
  <c r="AB112" i="17" s="1"/>
  <c r="W132" i="17"/>
  <c r="AB11" i="17" a="1"/>
  <c r="AB11" i="17" s="1"/>
  <c r="AA12" i="17"/>
  <c r="Z13" i="17"/>
  <c r="AD12" i="17"/>
  <c r="AB10" i="17" a="1"/>
  <c r="AB10" i="17" s="1"/>
  <c r="V10" i="17" a="1"/>
  <c r="V10" i="17" s="1"/>
  <c r="E7" i="20" a="1"/>
  <c r="D7" i="20" a="1"/>
  <c r="D7" i="20" l="1"/>
  <c r="E7" i="20"/>
  <c r="C8" i="20"/>
  <c r="B8" i="20"/>
  <c r="A9" i="20"/>
  <c r="V73" i="17" a="1"/>
  <c r="V73" i="17" s="1"/>
  <c r="AB73" i="17" a="1"/>
  <c r="AB73" i="17" s="1"/>
  <c r="AC73" i="17" s="1"/>
  <c r="AA132" i="17"/>
  <c r="Z133" i="17"/>
  <c r="AD132" i="17"/>
  <c r="AC70" i="17"/>
  <c r="AC72" i="17"/>
  <c r="V113" i="17" a="1"/>
  <c r="V113" i="17" s="1"/>
  <c r="AB113" i="17" a="1"/>
  <c r="AB113" i="17" s="1"/>
  <c r="AC113" i="17" s="1"/>
  <c r="AC130" i="17"/>
  <c r="AC110" i="17"/>
  <c r="U111" i="17" s="1" a="1"/>
  <c r="U111" i="17" s="1"/>
  <c r="AC111" i="17"/>
  <c r="AC112" i="17"/>
  <c r="AA93" i="17"/>
  <c r="Z94" i="17"/>
  <c r="AD93" i="17"/>
  <c r="AC91" i="17"/>
  <c r="AC90" i="17"/>
  <c r="U91" i="17" s="1" a="1"/>
  <c r="U91" i="17" s="1"/>
  <c r="U92" i="17" s="1" a="1"/>
  <c r="U92" i="17" s="1"/>
  <c r="U71" i="17" a="1"/>
  <c r="U71" i="17" s="1"/>
  <c r="U72" i="17" s="1" a="1"/>
  <c r="U72" i="17" s="1"/>
  <c r="U73" i="17" s="1" a="1"/>
  <c r="U73" i="17" s="1"/>
  <c r="AC50" i="17"/>
  <c r="U51" i="17" s="1" a="1"/>
  <c r="U51" i="17" s="1"/>
  <c r="V51" i="17" a="1"/>
  <c r="V51" i="17" s="1"/>
  <c r="AB51" i="17" a="1"/>
  <c r="AB51" i="17" s="1"/>
  <c r="AB131" i="17" a="1"/>
  <c r="AB131" i="17" s="1"/>
  <c r="V131" i="17" a="1"/>
  <c r="V131" i="17" s="1"/>
  <c r="AD74" i="17"/>
  <c r="Z75" i="17"/>
  <c r="AA74" i="17"/>
  <c r="AB92" i="17" a="1"/>
  <c r="AB92" i="17" s="1"/>
  <c r="V92" i="17" a="1"/>
  <c r="V92" i="17" s="1"/>
  <c r="Z53" i="17"/>
  <c r="AA52" i="17"/>
  <c r="AD52" i="17"/>
  <c r="U131" i="17" a="1"/>
  <c r="U131" i="17" s="1"/>
  <c r="AD114" i="17"/>
  <c r="AA114" i="17"/>
  <c r="Z115" i="17"/>
  <c r="Z14" i="17"/>
  <c r="AA13" i="17"/>
  <c r="AD13" i="17"/>
  <c r="AC11" i="17"/>
  <c r="V12" i="17" a="1"/>
  <c r="V12" i="17" s="1"/>
  <c r="AB12" i="17" a="1"/>
  <c r="AB12" i="17" s="1"/>
  <c r="AC12" i="17" s="1"/>
  <c r="AC10" i="17"/>
  <c r="W10" i="17" s="1"/>
  <c r="E8" i="20" a="1"/>
  <c r="D8" i="20" a="1"/>
  <c r="D8" i="20" l="1"/>
  <c r="E8" i="20"/>
  <c r="C9" i="20"/>
  <c r="B9" i="20"/>
  <c r="A10" i="20"/>
  <c r="U112" i="17" a="1"/>
  <c r="U112" i="17" s="1"/>
  <c r="U113" i="17" s="1" a="1"/>
  <c r="U113" i="17" s="1"/>
  <c r="U114" i="17" a="1"/>
  <c r="U114" i="17" s="1"/>
  <c r="AB114" i="17" a="1"/>
  <c r="AB114" i="17" s="1"/>
  <c r="V114" i="17" a="1"/>
  <c r="V114" i="17" s="1"/>
  <c r="AD94" i="17"/>
  <c r="AA94" i="17"/>
  <c r="Z95" i="17"/>
  <c r="Z134" i="17"/>
  <c r="AD133" i="17"/>
  <c r="AA133" i="17"/>
  <c r="AC114" i="17"/>
  <c r="U115" i="17" s="1" a="1"/>
  <c r="U115" i="17" s="1"/>
  <c r="AA53" i="17"/>
  <c r="Z54" i="17"/>
  <c r="AD53" i="17"/>
  <c r="Z76" i="17"/>
  <c r="AA75" i="17"/>
  <c r="AD75" i="17"/>
  <c r="AC51" i="17"/>
  <c r="U52" i="17" s="1" a="1"/>
  <c r="U52" i="17" s="1"/>
  <c r="AB93" i="17" a="1"/>
  <c r="AB93" i="17" s="1"/>
  <c r="V93" i="17" a="1"/>
  <c r="V93" i="17" s="1"/>
  <c r="AC131" i="17"/>
  <c r="U132" i="17" s="1" a="1"/>
  <c r="U132" i="17" s="1"/>
  <c r="AB132" i="17" a="1"/>
  <c r="AB132" i="17" s="1"/>
  <c r="V132" i="17" a="1"/>
  <c r="V132" i="17" s="1"/>
  <c r="AC92" i="17"/>
  <c r="U93" i="17" s="1" a="1"/>
  <c r="U93" i="17" s="1"/>
  <c r="U74" i="17" a="1"/>
  <c r="U74" i="17" s="1"/>
  <c r="V52" i="17" a="1"/>
  <c r="V52" i="17" s="1"/>
  <c r="AB52" i="17" a="1"/>
  <c r="AB52" i="17" s="1"/>
  <c r="AB74" i="17" a="1"/>
  <c r="AB74" i="17" s="1"/>
  <c r="V74" i="17" a="1"/>
  <c r="V74" i="17" s="1"/>
  <c r="AD115" i="17"/>
  <c r="Z116" i="17"/>
  <c r="AA115" i="17"/>
  <c r="V13" i="17" a="1"/>
  <c r="V13" i="17" s="1"/>
  <c r="AB13" i="17" a="1"/>
  <c r="AB13" i="17" s="1"/>
  <c r="AA14" i="17"/>
  <c r="AD14" i="17"/>
  <c r="Z15" i="17"/>
  <c r="U11" i="17" a="1"/>
  <c r="U11" i="17" s="1"/>
  <c r="E9" i="20" a="1"/>
  <c r="D9" i="20" a="1"/>
  <c r="D9" i="20" l="1"/>
  <c r="E9" i="20"/>
  <c r="A11" i="20"/>
  <c r="C10" i="20"/>
  <c r="B10" i="20"/>
  <c r="AC52" i="17"/>
  <c r="U53" i="17" s="1" a="1"/>
  <c r="U53" i="17" s="1"/>
  <c r="V75" i="17" a="1"/>
  <c r="V75" i="17" s="1"/>
  <c r="AB75" i="17" a="1"/>
  <c r="AB75" i="17" s="1"/>
  <c r="AC75" i="17" s="1"/>
  <c r="AA54" i="17"/>
  <c r="AD54" i="17"/>
  <c r="Z55" i="17"/>
  <c r="Z135" i="17"/>
  <c r="AA134" i="17"/>
  <c r="AD134" i="17"/>
  <c r="AD116" i="17"/>
  <c r="AA116" i="17"/>
  <c r="Z117" i="17"/>
  <c r="AB94" i="17" a="1"/>
  <c r="AB94" i="17" s="1"/>
  <c r="V94" i="17" a="1"/>
  <c r="V94" i="17" s="1"/>
  <c r="AC132" i="17"/>
  <c r="U133" i="17" s="1" a="1"/>
  <c r="U133" i="17" s="1"/>
  <c r="AC93" i="17"/>
  <c r="U94" i="17" s="1" a="1"/>
  <c r="U94" i="17" s="1"/>
  <c r="AA76" i="17"/>
  <c r="Z77" i="17"/>
  <c r="AD76" i="17"/>
  <c r="AB53" i="17" a="1"/>
  <c r="AB53" i="17" s="1"/>
  <c r="AC53" i="17" s="1"/>
  <c r="V53" i="17" a="1"/>
  <c r="V53" i="17" s="1"/>
  <c r="AB133" i="17" a="1"/>
  <c r="AB133" i="17" s="1"/>
  <c r="V133" i="17" a="1"/>
  <c r="V133" i="17" s="1"/>
  <c r="V115" i="17" a="1"/>
  <c r="V115" i="17" s="1"/>
  <c r="AB115" i="17" a="1"/>
  <c r="AB115" i="17" s="1"/>
  <c r="AC74" i="17"/>
  <c r="U75" i="17" s="1" a="1"/>
  <c r="U75" i="17" s="1"/>
  <c r="Z96" i="17"/>
  <c r="AA95" i="17"/>
  <c r="AD95" i="17"/>
  <c r="W138" i="17"/>
  <c r="W11" i="17"/>
  <c r="U12" i="17" a="1"/>
  <c r="U12" i="17" s="1"/>
  <c r="V14" i="17" a="1"/>
  <c r="V14" i="17" s="1"/>
  <c r="AB14" i="17" a="1"/>
  <c r="AB14" i="17" s="1"/>
  <c r="AC13" i="17"/>
  <c r="Z16" i="17"/>
  <c r="AD15" i="17"/>
  <c r="AA15" i="17"/>
  <c r="D10" i="20" a="1"/>
  <c r="E10" i="20" a="1"/>
  <c r="E10" i="20" l="1"/>
  <c r="D10" i="20"/>
  <c r="U13" i="17" a="1"/>
  <c r="U13" i="17" s="1"/>
  <c r="W13" i="17" s="1"/>
  <c r="W12" i="17"/>
  <c r="B11" i="20"/>
  <c r="A12" i="20"/>
  <c r="C11" i="20"/>
  <c r="U54" i="17" a="1"/>
  <c r="U54" i="17" s="1"/>
  <c r="AC115" i="17"/>
  <c r="U116" i="17" s="1" a="1"/>
  <c r="U116" i="17" s="1"/>
  <c r="AC133" i="17"/>
  <c r="U134" i="17" s="1" a="1"/>
  <c r="U134" i="17" s="1"/>
  <c r="Z78" i="17"/>
  <c r="AD77" i="17"/>
  <c r="AA77" i="17"/>
  <c r="AB116" i="17" a="1"/>
  <c r="AB116" i="17" s="1"/>
  <c r="AC116" i="17" s="1"/>
  <c r="V116" i="17" a="1"/>
  <c r="V116" i="17" s="1"/>
  <c r="V134" i="17" a="1"/>
  <c r="V134" i="17" s="1"/>
  <c r="AB134" i="17" a="1"/>
  <c r="AB134" i="17" s="1"/>
  <c r="V76" i="17" a="1"/>
  <c r="V76" i="17" s="1"/>
  <c r="AB76" i="17" a="1"/>
  <c r="AB76" i="17" s="1"/>
  <c r="AA135" i="17"/>
  <c r="AD135" i="17"/>
  <c r="Z136" i="17"/>
  <c r="V54" i="17" a="1"/>
  <c r="V54" i="17" s="1"/>
  <c r="AB54" i="17" a="1"/>
  <c r="AB54" i="17" s="1"/>
  <c r="AC94" i="17"/>
  <c r="U95" i="17" s="1" a="1"/>
  <c r="U95" i="17" s="1"/>
  <c r="Z118" i="17"/>
  <c r="AA117" i="17"/>
  <c r="AD117" i="17"/>
  <c r="AA55" i="17"/>
  <c r="AD55" i="17"/>
  <c r="Z56" i="17"/>
  <c r="AB95" i="17" a="1"/>
  <c r="AB95" i="17" s="1"/>
  <c r="V95" i="17" a="1"/>
  <c r="V95" i="17" s="1"/>
  <c r="AC134" i="17"/>
  <c r="AA96" i="17"/>
  <c r="AD96" i="17"/>
  <c r="Z97" i="17"/>
  <c r="U76" i="17" a="1"/>
  <c r="U76" i="17" s="1"/>
  <c r="AC14" i="17"/>
  <c r="AD16" i="17"/>
  <c r="AA16" i="17"/>
  <c r="Z17" i="17"/>
  <c r="AB15" i="17" a="1"/>
  <c r="AB15" i="17" s="1"/>
  <c r="V15" i="17" a="1"/>
  <c r="V15" i="17" s="1"/>
  <c r="D11" i="20" a="1"/>
  <c r="E11" i="20" a="1"/>
  <c r="E11" i="20" l="1"/>
  <c r="D11" i="20"/>
  <c r="U14" i="17" a="1"/>
  <c r="U14" i="17" s="1"/>
  <c r="W14" i="17" s="1"/>
  <c r="A13" i="20"/>
  <c r="B12" i="20"/>
  <c r="C12" i="20"/>
  <c r="U135" i="17" a="1"/>
  <c r="U135" i="17" s="1"/>
  <c r="V117" i="17" a="1"/>
  <c r="V117" i="17" s="1"/>
  <c r="AB117" i="17" a="1"/>
  <c r="AB117" i="17" s="1"/>
  <c r="AA118" i="17"/>
  <c r="AD118" i="17"/>
  <c r="Z119" i="17"/>
  <c r="Z137" i="17"/>
  <c r="AA136" i="17"/>
  <c r="AD136" i="17"/>
  <c r="Z79" i="17"/>
  <c r="AD78" i="17"/>
  <c r="AA78" i="17"/>
  <c r="V96" i="17" a="1"/>
  <c r="V96" i="17" s="1"/>
  <c r="AB96" i="17" a="1"/>
  <c r="AB96" i="17" s="1"/>
  <c r="Z57" i="17"/>
  <c r="AD56" i="17"/>
  <c r="AA56" i="17"/>
  <c r="Z98" i="17"/>
  <c r="AD97" i="17"/>
  <c r="AA97" i="17"/>
  <c r="V55" i="17" a="1"/>
  <c r="V55" i="17" s="1"/>
  <c r="AB55" i="17" a="1"/>
  <c r="AB55" i="17" s="1"/>
  <c r="AC54" i="17"/>
  <c r="U55" i="17" s="1" a="1"/>
  <c r="U55" i="17" s="1"/>
  <c r="AC76" i="17"/>
  <c r="U77" i="17" s="1" a="1"/>
  <c r="U77" i="17" s="1"/>
  <c r="U117" i="17" a="1"/>
  <c r="U117" i="17" s="1"/>
  <c r="AC117" i="17"/>
  <c r="AC95" i="17"/>
  <c r="U96" i="17" s="1" a="1"/>
  <c r="U96" i="17" s="1"/>
  <c r="V135" i="17" a="1"/>
  <c r="V135" i="17" s="1"/>
  <c r="AB135" i="17" a="1"/>
  <c r="AB135" i="17" s="1"/>
  <c r="V77" i="17" a="1"/>
  <c r="V77" i="17" s="1"/>
  <c r="AB77" i="17" a="1"/>
  <c r="AB77" i="17" s="1"/>
  <c r="U15" i="17" a="1"/>
  <c r="U15" i="17" s="1"/>
  <c r="W15" i="17" s="1"/>
  <c r="AA17" i="17"/>
  <c r="Z18" i="17"/>
  <c r="AD17" i="17"/>
  <c r="AC15" i="17"/>
  <c r="U16" i="17" s="1" a="1"/>
  <c r="U16" i="17" s="1"/>
  <c r="AB16" i="17" a="1"/>
  <c r="AB16" i="17" s="1"/>
  <c r="V16" i="17" a="1"/>
  <c r="V16" i="17" s="1"/>
  <c r="D12" i="20" a="1"/>
  <c r="E12" i="20" a="1"/>
  <c r="E12" i="20" l="1"/>
  <c r="D12" i="20"/>
  <c r="C13" i="20"/>
  <c r="B13" i="20"/>
  <c r="A14" i="20"/>
  <c r="V78" i="17" a="1"/>
  <c r="V78" i="17" s="1"/>
  <c r="AB78" i="17" a="1"/>
  <c r="AB78" i="17" s="1"/>
  <c r="Z120" i="17"/>
  <c r="AA119" i="17"/>
  <c r="AD119" i="17"/>
  <c r="AC77" i="17"/>
  <c r="U78" i="17" s="1" a="1"/>
  <c r="U78" i="17" s="1"/>
  <c r="U118" i="17" a="1"/>
  <c r="U118" i="17" s="1"/>
  <c r="AB97" i="17" a="1"/>
  <c r="AB97" i="17" s="1"/>
  <c r="V97" i="17" a="1"/>
  <c r="V97" i="17" s="1"/>
  <c r="AB56" i="17" a="1"/>
  <c r="AB56" i="17" s="1"/>
  <c r="AC56" i="17" s="1"/>
  <c r="V56" i="17" a="1"/>
  <c r="V56" i="17" s="1"/>
  <c r="AB136" i="17" a="1"/>
  <c r="AB136" i="17" s="1"/>
  <c r="AC136" i="17" s="1"/>
  <c r="V136" i="17" a="1"/>
  <c r="V136" i="17" s="1"/>
  <c r="AC55" i="17"/>
  <c r="U56" i="17" s="1" a="1"/>
  <c r="U56" i="17" s="1"/>
  <c r="W56" i="17" s="1"/>
  <c r="AA79" i="17"/>
  <c r="AD79" i="17"/>
  <c r="Z80" i="17"/>
  <c r="AD137" i="17"/>
  <c r="Z138" i="17"/>
  <c r="AA137" i="17"/>
  <c r="AB118" i="17" a="1"/>
  <c r="AB118" i="17" s="1"/>
  <c r="V118" i="17" a="1"/>
  <c r="V118" i="17" s="1"/>
  <c r="AC135" i="17"/>
  <c r="U136" i="17" s="1" a="1"/>
  <c r="U136" i="17" s="1"/>
  <c r="AA98" i="17"/>
  <c r="AD98" i="17"/>
  <c r="Z99" i="17"/>
  <c r="Z58" i="17"/>
  <c r="AA57" i="17"/>
  <c r="AD57" i="17"/>
  <c r="AC96" i="17"/>
  <c r="U97" i="17" s="1" a="1"/>
  <c r="U97" i="17" s="1"/>
  <c r="AA18" i="17"/>
  <c r="AD18" i="17"/>
  <c r="Z19" i="17"/>
  <c r="AC16" i="17"/>
  <c r="U17" i="17" s="1" a="1"/>
  <c r="U17" i="17" s="1"/>
  <c r="V17" i="17" a="1"/>
  <c r="V17" i="17" s="1"/>
  <c r="AB17" i="17" a="1"/>
  <c r="AB17" i="17" s="1"/>
  <c r="AC17" i="17" s="1"/>
  <c r="E13" i="20" a="1"/>
  <c r="D13" i="20" a="1"/>
  <c r="D13" i="20" l="1"/>
  <c r="E13" i="20"/>
  <c r="W17" i="17"/>
  <c r="W16" i="17"/>
  <c r="A15" i="20"/>
  <c r="C14" i="20"/>
  <c r="B14" i="20"/>
  <c r="AB57" i="17" a="1"/>
  <c r="AB57" i="17" s="1"/>
  <c r="V57" i="17" a="1"/>
  <c r="V57" i="17" s="1"/>
  <c r="V98" i="17" a="1"/>
  <c r="V98" i="17" s="1"/>
  <c r="AB98" i="17" a="1"/>
  <c r="AB98" i="17" s="1"/>
  <c r="AC98" i="17" s="1"/>
  <c r="AD58" i="17"/>
  <c r="AA58" i="17"/>
  <c r="Z59" i="17"/>
  <c r="AC118" i="17"/>
  <c r="U119" i="17" s="1" a="1"/>
  <c r="U119" i="17" s="1"/>
  <c r="Z81" i="17"/>
  <c r="AA80" i="17"/>
  <c r="AD80" i="17"/>
  <c r="AC57" i="17"/>
  <c r="U58" i="17" s="1" a="1"/>
  <c r="U58" i="17" s="1"/>
  <c r="U57" i="17" a="1"/>
  <c r="U57" i="17" s="1"/>
  <c r="AD99" i="17"/>
  <c r="AA99" i="17"/>
  <c r="Z100" i="17"/>
  <c r="U137" i="17" a="1"/>
  <c r="U137" i="17" s="1"/>
  <c r="V137" i="17" a="1"/>
  <c r="V137" i="17" s="1"/>
  <c r="AB137" i="17" a="1"/>
  <c r="AB137" i="17" s="1"/>
  <c r="AC78" i="17"/>
  <c r="U79" i="17" s="1" a="1"/>
  <c r="U79" i="17" s="1"/>
  <c r="AB119" i="17" a="1"/>
  <c r="AB119" i="17" s="1"/>
  <c r="AC119" i="17" s="1"/>
  <c r="V119" i="17" a="1"/>
  <c r="V119" i="17" s="1"/>
  <c r="Z139" i="17"/>
  <c r="AA138" i="17"/>
  <c r="AD138" i="17"/>
  <c r="AB79" i="17" a="1"/>
  <c r="AB79" i="17" s="1"/>
  <c r="AC79" i="17" s="1"/>
  <c r="V79" i="17" a="1"/>
  <c r="V79" i="17" s="1"/>
  <c r="Z121" i="17"/>
  <c r="AA120" i="17"/>
  <c r="AD120" i="17"/>
  <c r="AC97" i="17"/>
  <c r="U98" i="17" s="1" a="1"/>
  <c r="U98" i="17" s="1"/>
  <c r="W147" i="17"/>
  <c r="W120" i="17"/>
  <c r="AA19" i="17"/>
  <c r="AD19" i="17"/>
  <c r="Z20" i="17"/>
  <c r="V18" i="17" a="1"/>
  <c r="V18" i="17" s="1"/>
  <c r="AB18" i="17" a="1"/>
  <c r="AB18" i="17" s="1"/>
  <c r="U18" i="17" a="1"/>
  <c r="U18" i="17" s="1"/>
  <c r="D14" i="20" a="1"/>
  <c r="E14" i="20" a="1"/>
  <c r="E14" i="20" l="1"/>
  <c r="D14" i="20"/>
  <c r="C15" i="20"/>
  <c r="A16" i="20"/>
  <c r="B15" i="20"/>
  <c r="U80" i="17" a="1"/>
  <c r="U80" i="17" s="1"/>
  <c r="U120" i="17" a="1"/>
  <c r="U120" i="17" s="1"/>
  <c r="AD121" i="17"/>
  <c r="AA121" i="17"/>
  <c r="Z122" i="17"/>
  <c r="AA81" i="17"/>
  <c r="AD81" i="17"/>
  <c r="Z82" i="17"/>
  <c r="V99" i="17" a="1"/>
  <c r="V99" i="17" s="1"/>
  <c r="AB99" i="17" a="1"/>
  <c r="AB99" i="17" s="1"/>
  <c r="U99" i="17" a="1"/>
  <c r="U99" i="17" s="1"/>
  <c r="AB138" i="17" a="1"/>
  <c r="AB138" i="17" s="1"/>
  <c r="AC138" i="17" s="1"/>
  <c r="V138" i="17" a="1"/>
  <c r="V138" i="17" s="1"/>
  <c r="AD59" i="17"/>
  <c r="AA59" i="17"/>
  <c r="Z60" i="17"/>
  <c r="AB120" i="17" a="1"/>
  <c r="AB120" i="17" s="1"/>
  <c r="V120" i="17" a="1"/>
  <c r="V120" i="17" s="1"/>
  <c r="AA139" i="17"/>
  <c r="AD139" i="17"/>
  <c r="Z140" i="17"/>
  <c r="AC137" i="17"/>
  <c r="U138" i="17" s="1" a="1"/>
  <c r="U138" i="17" s="1"/>
  <c r="AD100" i="17"/>
  <c r="AA100" i="17"/>
  <c r="Z101" i="17"/>
  <c r="AB80" i="17" a="1"/>
  <c r="AB80" i="17" s="1"/>
  <c r="AC80" i="17" s="1"/>
  <c r="V80" i="17" a="1"/>
  <c r="V80" i="17" s="1"/>
  <c r="AB58" i="17" a="1"/>
  <c r="AB58" i="17" s="1"/>
  <c r="AC58" i="17" s="1"/>
  <c r="V58" i="17" a="1"/>
  <c r="V58" i="17" s="1"/>
  <c r="AC18" i="17"/>
  <c r="U19" i="17" s="1" a="1"/>
  <c r="U19" i="17" s="1"/>
  <c r="AD20" i="17"/>
  <c r="AA20" i="17"/>
  <c r="Z21" i="17"/>
  <c r="V19" i="17" a="1"/>
  <c r="V19" i="17" s="1"/>
  <c r="AB19" i="17" a="1"/>
  <c r="AB19" i="17" s="1"/>
  <c r="AC19" i="17" s="1"/>
  <c r="D15" i="20" a="1"/>
  <c r="E15" i="20" a="1"/>
  <c r="E15" i="20" l="1"/>
  <c r="D15" i="20"/>
  <c r="B16" i="20"/>
  <c r="C16" i="20"/>
  <c r="A17" i="20"/>
  <c r="U139" i="17" a="1"/>
  <c r="U139" i="17" s="1"/>
  <c r="AC99" i="17"/>
  <c r="U100" i="17" s="1" a="1"/>
  <c r="U100" i="17" s="1"/>
  <c r="AB81" i="17" a="1"/>
  <c r="AB81" i="17" s="1"/>
  <c r="AC81" i="17" s="1"/>
  <c r="V81" i="17" a="1"/>
  <c r="V81" i="17" s="1"/>
  <c r="V139" i="17" a="1"/>
  <c r="V139" i="17" s="1"/>
  <c r="AB139" i="17" a="1"/>
  <c r="AB139" i="17" s="1"/>
  <c r="AA60" i="17"/>
  <c r="AD60" i="17"/>
  <c r="Z61" i="17"/>
  <c r="U59" i="17" a="1"/>
  <c r="U59" i="17" s="1"/>
  <c r="AA101" i="17"/>
  <c r="AD101" i="17"/>
  <c r="Z102" i="17"/>
  <c r="Z141" i="17"/>
  <c r="AA140" i="17"/>
  <c r="AD140" i="17"/>
  <c r="AB59" i="17" a="1"/>
  <c r="AB59" i="17" s="1"/>
  <c r="V59" i="17" a="1"/>
  <c r="V59" i="17" s="1"/>
  <c r="Z83" i="17"/>
  <c r="AD82" i="17"/>
  <c r="AA82" i="17"/>
  <c r="AA122" i="17"/>
  <c r="AD122" i="17"/>
  <c r="Z123" i="17"/>
  <c r="V100" i="17" a="1"/>
  <c r="V100" i="17" s="1"/>
  <c r="AB100" i="17" a="1"/>
  <c r="AB100" i="17" s="1"/>
  <c r="AC100" i="17" s="1"/>
  <c r="AC120" i="17"/>
  <c r="U121" i="17" s="1" a="1"/>
  <c r="U121" i="17" s="1"/>
  <c r="V121" i="17" a="1"/>
  <c r="V121" i="17" s="1"/>
  <c r="AB121" i="17" a="1"/>
  <c r="AB121" i="17" s="1"/>
  <c r="U81" i="17" a="1"/>
  <c r="U81" i="17" s="1"/>
  <c r="W103" i="17"/>
  <c r="U20" i="17" a="1"/>
  <c r="U20" i="17" s="1"/>
  <c r="AB20" i="17" a="1"/>
  <c r="AB20" i="17" s="1"/>
  <c r="V20" i="17" a="1"/>
  <c r="V20" i="17" s="1"/>
  <c r="AD21" i="17"/>
  <c r="AA21" i="17"/>
  <c r="Z22" i="17"/>
  <c r="E16" i="20" a="1"/>
  <c r="D16" i="20" a="1"/>
  <c r="D16" i="20" l="1"/>
  <c r="E16" i="20"/>
  <c r="B17" i="20"/>
  <c r="A18" i="20"/>
  <c r="C17" i="20"/>
  <c r="U82" i="17" a="1"/>
  <c r="U82" i="17" s="1"/>
  <c r="AC121" i="17"/>
  <c r="U122" i="17" s="1" a="1"/>
  <c r="U122" i="17" s="1"/>
  <c r="AB82" i="17" a="1"/>
  <c r="AB82" i="17" s="1"/>
  <c r="AC82" i="17" s="1"/>
  <c r="U83" i="17" s="1" a="1"/>
  <c r="U83" i="17" s="1"/>
  <c r="V82" i="17" a="1"/>
  <c r="V82" i="17" s="1"/>
  <c r="AC59" i="17"/>
  <c r="U60" i="17" s="1" a="1"/>
  <c r="U60" i="17" s="1"/>
  <c r="AD102" i="17"/>
  <c r="AA102" i="17"/>
  <c r="Z103" i="17"/>
  <c r="AC139" i="17"/>
  <c r="U140" i="17" s="1" a="1"/>
  <c r="U140" i="17" s="1"/>
  <c r="Z124" i="17"/>
  <c r="AA123" i="17"/>
  <c r="AD123" i="17"/>
  <c r="AD61" i="17"/>
  <c r="AA61" i="17"/>
  <c r="Z62" i="17"/>
  <c r="U101" i="17" a="1"/>
  <c r="U101" i="17" s="1"/>
  <c r="V122" i="17" a="1"/>
  <c r="V122" i="17" s="1"/>
  <c r="AB122" i="17" a="1"/>
  <c r="AB122" i="17" s="1"/>
  <c r="AC122" i="17" s="1"/>
  <c r="Z142" i="17"/>
  <c r="AA141" i="17"/>
  <c r="AD141" i="17"/>
  <c r="AB60" i="17" a="1"/>
  <c r="AB60" i="17" s="1"/>
  <c r="V60" i="17" a="1"/>
  <c r="V60" i="17" s="1"/>
  <c r="AA83" i="17"/>
  <c r="AD83" i="17"/>
  <c r="Z84" i="17"/>
  <c r="AB140" i="17" a="1"/>
  <c r="AB140" i="17" s="1"/>
  <c r="AC140" i="17" s="1"/>
  <c r="U141" i="17" s="1" a="1"/>
  <c r="U141" i="17" s="1"/>
  <c r="V140" i="17" a="1"/>
  <c r="V140" i="17" s="1"/>
  <c r="V101" i="17" a="1"/>
  <c r="V101" i="17" s="1"/>
  <c r="AB101" i="17" a="1"/>
  <c r="AB101" i="17" s="1"/>
  <c r="AC101" i="17" s="1"/>
  <c r="AC20" i="17"/>
  <c r="U21" i="17" s="1" a="1"/>
  <c r="U21" i="17" s="1"/>
  <c r="V21" i="17" a="1"/>
  <c r="V21" i="17" s="1"/>
  <c r="AB21" i="17" a="1"/>
  <c r="AB21" i="17" s="1"/>
  <c r="AD22" i="17"/>
  <c r="AA22" i="17"/>
  <c r="Z23" i="17"/>
  <c r="D17" i="20" a="1"/>
  <c r="E17" i="20" a="1"/>
  <c r="E17" i="20" l="1"/>
  <c r="D17" i="20"/>
  <c r="C18" i="20"/>
  <c r="B18" i="20"/>
  <c r="A19" i="20"/>
  <c r="AA142" i="17"/>
  <c r="AD142" i="17"/>
  <c r="Z143" i="17"/>
  <c r="U102" i="17" a="1"/>
  <c r="U102" i="17" s="1"/>
  <c r="Z85" i="17"/>
  <c r="AD84" i="17"/>
  <c r="AA84" i="17"/>
  <c r="AC60" i="17"/>
  <c r="U61" i="17" s="1" a="1"/>
  <c r="U61" i="17" s="1"/>
  <c r="U123" i="17" a="1"/>
  <c r="U123" i="17" s="1"/>
  <c r="V61" i="17" a="1"/>
  <c r="V61" i="17" s="1"/>
  <c r="AB61" i="17" a="1"/>
  <c r="AB61" i="17" s="1"/>
  <c r="Z125" i="17"/>
  <c r="AA124" i="17"/>
  <c r="AD124" i="17"/>
  <c r="Z104" i="17"/>
  <c r="AA103" i="17"/>
  <c r="AD103" i="17"/>
  <c r="AB123" i="17" a="1"/>
  <c r="AB123" i="17" s="1"/>
  <c r="V123" i="17" a="1"/>
  <c r="V123" i="17" s="1"/>
  <c r="AB102" i="17" a="1"/>
  <c r="AB102" i="17" s="1"/>
  <c r="AC102" i="17" s="1"/>
  <c r="V102" i="17" a="1"/>
  <c r="V102" i="17" s="1"/>
  <c r="AD62" i="17"/>
  <c r="Z63" i="17"/>
  <c r="AA62" i="17"/>
  <c r="AB83" i="17" a="1"/>
  <c r="AB83" i="17" s="1"/>
  <c r="AC83" i="17" s="1"/>
  <c r="U84" i="17" s="1" a="1"/>
  <c r="U84" i="17" s="1"/>
  <c r="V83" i="17" a="1"/>
  <c r="V83" i="17" s="1"/>
  <c r="AB141" i="17" a="1"/>
  <c r="AB141" i="17" s="1"/>
  <c r="AC141" i="17" s="1"/>
  <c r="U142" i="17" s="1" a="1"/>
  <c r="U142" i="17" s="1"/>
  <c r="V141" i="17" a="1"/>
  <c r="V141" i="17" s="1"/>
  <c r="W84" i="17"/>
  <c r="V22" i="17" a="1"/>
  <c r="V22" i="17" s="1"/>
  <c r="AB22" i="17" a="1"/>
  <c r="AB22" i="17" s="1"/>
  <c r="AC22" i="17" s="1"/>
  <c r="AA23" i="17"/>
  <c r="AD23" i="17"/>
  <c r="Z24" i="17"/>
  <c r="AC21" i="17"/>
  <c r="U22" i="17" s="1" a="1"/>
  <c r="U22" i="17" s="1"/>
  <c r="D18" i="20" a="1"/>
  <c r="E18" i="20" a="1"/>
  <c r="E18" i="20" l="1"/>
  <c r="D18" i="20"/>
  <c r="B19" i="20"/>
  <c r="A20" i="20"/>
  <c r="C19" i="20"/>
  <c r="U103" i="17" a="1"/>
  <c r="U103" i="17" s="1"/>
  <c r="AA63" i="17"/>
  <c r="AD63" i="17"/>
  <c r="Z64" i="17"/>
  <c r="AB84" i="17" a="1"/>
  <c r="AB84" i="17" s="1"/>
  <c r="AC84" i="17" s="1"/>
  <c r="V84" i="17" a="1"/>
  <c r="V84" i="17" s="1"/>
  <c r="AA143" i="17"/>
  <c r="AD143" i="17"/>
  <c r="Z144" i="17"/>
  <c r="AB62" i="17" a="1"/>
  <c r="AB62" i="17" s="1"/>
  <c r="AC62" i="17" s="1"/>
  <c r="V62" i="17" a="1"/>
  <c r="V62" i="17" s="1"/>
  <c r="AD104" i="17"/>
  <c r="AA104" i="17"/>
  <c r="Z105" i="17"/>
  <c r="AC61" i="17"/>
  <c r="U62" i="17" s="1" a="1"/>
  <c r="U62" i="17" s="1"/>
  <c r="AB124" i="17" a="1"/>
  <c r="AB124" i="17" s="1"/>
  <c r="AC124" i="17" s="1"/>
  <c r="V124" i="17" a="1"/>
  <c r="V124" i="17" s="1"/>
  <c r="AC123" i="17"/>
  <c r="U124" i="17" s="1" a="1"/>
  <c r="U124" i="17" s="1"/>
  <c r="V103" i="17" a="1"/>
  <c r="V103" i="17" s="1"/>
  <c r="AB103" i="17" a="1"/>
  <c r="AB103" i="17" s="1"/>
  <c r="AC103" i="17" s="1"/>
  <c r="AD125" i="17"/>
  <c r="AA125" i="17"/>
  <c r="Z126" i="17"/>
  <c r="AA85" i="17"/>
  <c r="AD85" i="17"/>
  <c r="Z86" i="17"/>
  <c r="AB142" i="17" a="1"/>
  <c r="AB142" i="17" s="1"/>
  <c r="AC142" i="17" s="1"/>
  <c r="U143" i="17" s="1" a="1"/>
  <c r="U143" i="17" s="1"/>
  <c r="V142" i="17" a="1"/>
  <c r="V142" i="17" s="1"/>
  <c r="U23" i="17" a="1"/>
  <c r="U23" i="17" s="1"/>
  <c r="V23" i="17" a="1"/>
  <c r="V23" i="17" s="1"/>
  <c r="AB23" i="17" a="1"/>
  <c r="AB23" i="17" s="1"/>
  <c r="AC23" i="17" s="1"/>
  <c r="AD24" i="17"/>
  <c r="AA24" i="17"/>
  <c r="Z25" i="17"/>
  <c r="D19" i="20" a="1"/>
  <c r="E19" i="20" a="1"/>
  <c r="E19" i="20" l="1"/>
  <c r="D19" i="20"/>
  <c r="A21" i="20"/>
  <c r="B20" i="20"/>
  <c r="C20" i="20"/>
  <c r="U63" i="17" a="1"/>
  <c r="U63" i="17" s="1"/>
  <c r="U125" i="17" a="1"/>
  <c r="U125" i="17" s="1"/>
  <c r="U104" i="17" a="1"/>
  <c r="U104" i="17" s="1"/>
  <c r="U85" i="17" a="1"/>
  <c r="U85" i="17" s="1"/>
  <c r="AD105" i="17"/>
  <c r="Z106" i="17"/>
  <c r="AA105" i="17"/>
  <c r="V143" i="17" a="1"/>
  <c r="V143" i="17" s="1"/>
  <c r="AB143" i="17" a="1"/>
  <c r="AB143" i="17" s="1"/>
  <c r="AC143" i="17" s="1"/>
  <c r="U144" i="17" s="1" a="1"/>
  <c r="U144" i="17" s="1"/>
  <c r="Z65" i="17"/>
  <c r="AA64" i="17"/>
  <c r="AD64" i="17"/>
  <c r="AA126" i="17"/>
  <c r="AD126" i="17"/>
  <c r="Z127" i="17"/>
  <c r="V104" i="17" a="1"/>
  <c r="V104" i="17" s="1"/>
  <c r="AB104" i="17" a="1"/>
  <c r="AB104" i="17" s="1"/>
  <c r="AC104" i="17" s="1"/>
  <c r="U105" i="17" s="1" a="1"/>
  <c r="U105" i="17" s="1"/>
  <c r="V85" i="17" a="1"/>
  <c r="V85" i="17" s="1"/>
  <c r="AB85" i="17" a="1"/>
  <c r="AB85" i="17" s="1"/>
  <c r="AC85" i="17" s="1"/>
  <c r="AA86" i="17"/>
  <c r="Z87" i="17"/>
  <c r="AD86" i="17"/>
  <c r="AB125" i="17" a="1"/>
  <c r="AB125" i="17" s="1"/>
  <c r="AC125" i="17" s="1"/>
  <c r="U126" i="17" s="1" a="1"/>
  <c r="U126" i="17" s="1"/>
  <c r="V125" i="17" a="1"/>
  <c r="V125" i="17" s="1"/>
  <c r="AA144" i="17"/>
  <c r="AD144" i="17"/>
  <c r="Z145" i="17"/>
  <c r="AB63" i="17" a="1"/>
  <c r="AB63" i="17" s="1"/>
  <c r="AC63" i="17" s="1"/>
  <c r="U64" i="17" s="1" a="1"/>
  <c r="U64" i="17" s="1"/>
  <c r="V63" i="17" a="1"/>
  <c r="V63" i="17" s="1"/>
  <c r="AD25" i="17"/>
  <c r="AA25" i="17"/>
  <c r="Z26" i="17"/>
  <c r="AB24" i="17" a="1"/>
  <c r="AB24" i="17" s="1"/>
  <c r="AC24" i="17" s="1"/>
  <c r="V24" i="17" a="1"/>
  <c r="V24" i="17" s="1"/>
  <c r="U24" i="17" a="1"/>
  <c r="U24" i="17" s="1"/>
  <c r="D20" i="20" a="1"/>
  <c r="E20" i="20" a="1"/>
  <c r="E20" i="20" l="1"/>
  <c r="D20" i="20"/>
  <c r="B21" i="20"/>
  <c r="C21" i="20"/>
  <c r="A22" i="20"/>
  <c r="U86" i="17" a="1"/>
  <c r="U86" i="17" s="1"/>
  <c r="AB126" i="17" a="1"/>
  <c r="AB126" i="17" s="1"/>
  <c r="AC126" i="17" s="1"/>
  <c r="U127" i="17" s="1" a="1"/>
  <c r="U127" i="17" s="1"/>
  <c r="V126" i="17" a="1"/>
  <c r="V126" i="17" s="1"/>
  <c r="AD87" i="17"/>
  <c r="AA87" i="17"/>
  <c r="Z88" i="17"/>
  <c r="AD145" i="17"/>
  <c r="AA145" i="17"/>
  <c r="Z146" i="17"/>
  <c r="AB86" i="17" a="1"/>
  <c r="AB86" i="17" s="1"/>
  <c r="AC86" i="17" s="1"/>
  <c r="V86" i="17" a="1"/>
  <c r="V86" i="17" s="1"/>
  <c r="AB144" i="17" a="1"/>
  <c r="AB144" i="17" s="1"/>
  <c r="AC144" i="17" s="1"/>
  <c r="U145" i="17" s="1" a="1"/>
  <c r="U145" i="17" s="1"/>
  <c r="V144" i="17" a="1"/>
  <c r="V144" i="17" s="1"/>
  <c r="AA65" i="17"/>
  <c r="AD65" i="17"/>
  <c r="Z66" i="17"/>
  <c r="Z107" i="17"/>
  <c r="AD106" i="17"/>
  <c r="AA106" i="17"/>
  <c r="U87" i="17" a="1"/>
  <c r="U87" i="17" s="1"/>
  <c r="Z128" i="17"/>
  <c r="AA127" i="17"/>
  <c r="AD127" i="17"/>
  <c r="AB64" i="17" a="1"/>
  <c r="AB64" i="17" s="1"/>
  <c r="AC64" i="17" s="1"/>
  <c r="V64" i="17" a="1"/>
  <c r="V64" i="17" s="1"/>
  <c r="AB105" i="17" a="1"/>
  <c r="AB105" i="17" s="1"/>
  <c r="AC105" i="17" s="1"/>
  <c r="V105" i="17" a="1"/>
  <c r="V105" i="17" s="1"/>
  <c r="U25" i="17" a="1"/>
  <c r="U25" i="17" s="1"/>
  <c r="AA26" i="17"/>
  <c r="AD26" i="17"/>
  <c r="Z27" i="17"/>
  <c r="V25" i="17" a="1"/>
  <c r="V25" i="17" s="1"/>
  <c r="AB25" i="17" a="1"/>
  <c r="AB25" i="17" s="1"/>
  <c r="AC25" i="17" s="1"/>
  <c r="D21" i="20" a="1"/>
  <c r="E21" i="20" a="1"/>
  <c r="E21" i="20" l="1"/>
  <c r="D21" i="20"/>
  <c r="C22" i="20"/>
  <c r="A23" i="20"/>
  <c r="B22" i="20"/>
  <c r="AB87" i="17" a="1"/>
  <c r="AB87" i="17" s="1"/>
  <c r="AC87" i="17" s="1"/>
  <c r="U88" i="17" s="1" a="1"/>
  <c r="U88" i="17" s="1"/>
  <c r="V87" i="17" a="1"/>
  <c r="V87" i="17" s="1"/>
  <c r="AA66" i="17"/>
  <c r="AD66" i="17"/>
  <c r="Z67" i="17"/>
  <c r="V106" i="17" a="1"/>
  <c r="V106" i="17" s="1"/>
  <c r="AB106" i="17" a="1"/>
  <c r="AB106" i="17" s="1"/>
  <c r="AC106" i="17" s="1"/>
  <c r="U65" i="17" a="1"/>
  <c r="U65" i="17" s="1"/>
  <c r="V127" i="17" a="1"/>
  <c r="V127" i="17" s="1"/>
  <c r="AB127" i="17" a="1"/>
  <c r="AB127" i="17" s="1"/>
  <c r="AC127" i="17" s="1"/>
  <c r="AB65" i="17" a="1"/>
  <c r="AB65" i="17" s="1"/>
  <c r="AC65" i="17" s="1"/>
  <c r="V65" i="17" a="1"/>
  <c r="V65" i="17" s="1"/>
  <c r="Z89" i="17"/>
  <c r="AA88" i="17"/>
  <c r="AD88" i="17"/>
  <c r="Z129" i="17"/>
  <c r="AA128" i="17"/>
  <c r="AD128" i="17"/>
  <c r="AA107" i="17"/>
  <c r="AD107" i="17"/>
  <c r="Z108" i="17"/>
  <c r="AA146" i="17"/>
  <c r="AD146" i="17"/>
  <c r="Z147" i="17"/>
  <c r="AB145" i="17" a="1"/>
  <c r="AB145" i="17" s="1"/>
  <c r="AC145" i="17" s="1"/>
  <c r="V145" i="17" a="1"/>
  <c r="V145" i="17" s="1"/>
  <c r="U106" i="17" a="1"/>
  <c r="U106" i="17" s="1"/>
  <c r="U107" i="17" s="1" a="1"/>
  <c r="U107" i="17" s="1"/>
  <c r="U26" i="17" a="1"/>
  <c r="U26" i="17" s="1"/>
  <c r="V26" i="17" a="1"/>
  <c r="V26" i="17" s="1"/>
  <c r="AB26" i="17" a="1"/>
  <c r="AB26" i="17" s="1"/>
  <c r="AC26" i="17" s="1"/>
  <c r="AA27" i="17"/>
  <c r="AD27" i="17"/>
  <c r="Z28" i="17"/>
  <c r="E22" i="20" a="1"/>
  <c r="D22" i="20" a="1"/>
  <c r="D22" i="20" l="1"/>
  <c r="E22" i="20"/>
  <c r="B23" i="20"/>
  <c r="A24" i="20"/>
  <c r="C23" i="20"/>
  <c r="U128" i="17" a="1"/>
  <c r="U128" i="17" s="1"/>
  <c r="U66" i="17" a="1"/>
  <c r="U66" i="17" s="1"/>
  <c r="AB66" i="17" a="1"/>
  <c r="AB66" i="17" s="1"/>
  <c r="AC66" i="17" s="1"/>
  <c r="V66" i="17" a="1"/>
  <c r="V66" i="17" s="1"/>
  <c r="AA129" i="17"/>
  <c r="AD129" i="17"/>
  <c r="AA89" i="17"/>
  <c r="AD89" i="17"/>
  <c r="AD67" i="17"/>
  <c r="Z68" i="17"/>
  <c r="AA67" i="17"/>
  <c r="V146" i="17" a="1"/>
  <c r="V146" i="17" s="1"/>
  <c r="AB146" i="17" a="1"/>
  <c r="AB146" i="17" s="1"/>
  <c r="AC146" i="17" s="1"/>
  <c r="AB107" i="17" a="1"/>
  <c r="AB107" i="17" s="1"/>
  <c r="AC107" i="17" s="1"/>
  <c r="V107" i="17" a="1"/>
  <c r="V107" i="17" s="1"/>
  <c r="U146" i="17" a="1"/>
  <c r="U146" i="17" s="1"/>
  <c r="Z148" i="17"/>
  <c r="AA147" i="17"/>
  <c r="AD147" i="17"/>
  <c r="Z109" i="17"/>
  <c r="AD108" i="17"/>
  <c r="AA108" i="17"/>
  <c r="V128" i="17" a="1"/>
  <c r="V128" i="17" s="1"/>
  <c r="AB128" i="17" a="1"/>
  <c r="AB128" i="17" s="1"/>
  <c r="AC128" i="17" s="1"/>
  <c r="U129" i="17" s="1" a="1"/>
  <c r="U129" i="17" s="1"/>
  <c r="V88" i="17" a="1"/>
  <c r="V88" i="17" s="1"/>
  <c r="AB88" i="17" a="1"/>
  <c r="AB88" i="17" s="1"/>
  <c r="AC88" i="17" s="1"/>
  <c r="U27" i="17" a="1"/>
  <c r="U27" i="17" s="1"/>
  <c r="AD28" i="17"/>
  <c r="AA28" i="17"/>
  <c r="Z29" i="17"/>
  <c r="V27" i="17" a="1"/>
  <c r="V27" i="17" s="1"/>
  <c r="AB27" i="17" a="1"/>
  <c r="AB27" i="17" s="1"/>
  <c r="AC27" i="17" s="1"/>
  <c r="E23" i="20" a="1"/>
  <c r="D23" i="20" a="1"/>
  <c r="D23" i="20" l="1"/>
  <c r="E23" i="20"/>
  <c r="A25" i="20"/>
  <c r="C24" i="20"/>
  <c r="B24" i="20"/>
  <c r="U147" i="17" a="1"/>
  <c r="U147" i="17" s="1"/>
  <c r="U67" i="17" a="1"/>
  <c r="U67" i="17" s="1"/>
  <c r="V147" i="17" a="1"/>
  <c r="V147" i="17" s="1"/>
  <c r="AB147" i="17" a="1"/>
  <c r="AB147" i="17" s="1"/>
  <c r="AC147" i="17" s="1"/>
  <c r="AA109" i="17"/>
  <c r="AD109" i="17"/>
  <c r="AD148" i="17"/>
  <c r="AA148" i="17"/>
  <c r="AD68" i="17"/>
  <c r="Z69" i="17"/>
  <c r="AA68" i="17"/>
  <c r="V89" i="17" a="1"/>
  <c r="V89" i="17" s="1"/>
  <c r="AB89" i="17" a="1"/>
  <c r="AB89" i="17" s="1"/>
  <c r="AC89" i="17" s="1"/>
  <c r="AB67" i="17" a="1"/>
  <c r="AB67" i="17" s="1"/>
  <c r="AC67" i="17" s="1"/>
  <c r="V67" i="17" a="1"/>
  <c r="V67" i="17" s="1"/>
  <c r="V108" i="17" a="1"/>
  <c r="V108" i="17" s="1"/>
  <c r="AB108" i="17" a="1"/>
  <c r="AB108" i="17" s="1"/>
  <c r="AC108" i="17" s="1"/>
  <c r="U109" i="17" s="1" a="1"/>
  <c r="U109" i="17" s="1"/>
  <c r="U89" i="17" a="1"/>
  <c r="U89" i="17" s="1"/>
  <c r="V129" i="17" a="1"/>
  <c r="V129" i="17" s="1"/>
  <c r="AB129" i="17" a="1"/>
  <c r="AB129" i="17" s="1"/>
  <c r="AC129" i="17" s="1"/>
  <c r="W129" i="17" s="1"/>
  <c r="U108" i="17" a="1"/>
  <c r="U108" i="17" s="1"/>
  <c r="AD29" i="17"/>
  <c r="AA29" i="17"/>
  <c r="Z30" i="17"/>
  <c r="AB28" i="17" a="1"/>
  <c r="AB28" i="17" s="1"/>
  <c r="AC28" i="17" s="1"/>
  <c r="V28" i="17" a="1"/>
  <c r="V28" i="17" s="1"/>
  <c r="U28" i="17" a="1"/>
  <c r="U28" i="17" s="1"/>
  <c r="E24" i="20" a="1"/>
  <c r="D24" i="20" a="1"/>
  <c r="D24" i="20" l="1"/>
  <c r="E24" i="20"/>
  <c r="C25" i="20"/>
  <c r="B25" i="20"/>
  <c r="A26" i="20"/>
  <c r="U148" i="17" a="1"/>
  <c r="U148" i="17" s="1"/>
  <c r="W89" i="17"/>
  <c r="AA69" i="17"/>
  <c r="AD69" i="17"/>
  <c r="V148" i="17" a="1"/>
  <c r="V148" i="17" s="1"/>
  <c r="AB148" i="17" a="1"/>
  <c r="AB148" i="17" s="1"/>
  <c r="AC148" i="17" s="1"/>
  <c r="AB68" i="17" a="1"/>
  <c r="AB68" i="17" s="1"/>
  <c r="AC68" i="17" s="1"/>
  <c r="V68" i="17" a="1"/>
  <c r="V68" i="17" s="1"/>
  <c r="AB109" i="17" a="1"/>
  <c r="AB109" i="17" s="1"/>
  <c r="AC109" i="17" s="1"/>
  <c r="V109" i="17" a="1"/>
  <c r="V109" i="17" s="1"/>
  <c r="U68" i="17" a="1"/>
  <c r="U68" i="17" s="1"/>
  <c r="U29" i="17" a="1"/>
  <c r="U29" i="17" s="1"/>
  <c r="AD30" i="17"/>
  <c r="AA30" i="17"/>
  <c r="Z31" i="17"/>
  <c r="V29" i="17" a="1"/>
  <c r="V29" i="17" s="1"/>
  <c r="AB29" i="17" a="1"/>
  <c r="AB29" i="17" s="1"/>
  <c r="AC29" i="17" s="1"/>
  <c r="E25" i="20" a="1"/>
  <c r="D25" i="20" a="1"/>
  <c r="D25" i="20" l="1"/>
  <c r="E25" i="20"/>
  <c r="A27" i="20"/>
  <c r="C26" i="20"/>
  <c r="B26" i="20"/>
  <c r="U69" i="17" a="1"/>
  <c r="U69" i="17" s="1"/>
  <c r="W109" i="17"/>
  <c r="AB69" i="17" a="1"/>
  <c r="AB69" i="17" s="1"/>
  <c r="AC69" i="17" s="1"/>
  <c r="V69" i="17" a="1"/>
  <c r="V69" i="17" s="1"/>
  <c r="W29" i="17"/>
  <c r="AA31" i="17"/>
  <c r="AD31" i="17"/>
  <c r="Z32" i="17"/>
  <c r="U30" i="17" a="1"/>
  <c r="U30" i="17" s="1"/>
  <c r="V30" i="17" a="1"/>
  <c r="V30" i="17" s="1"/>
  <c r="AB30" i="17" a="1"/>
  <c r="AB30" i="17" s="1"/>
  <c r="D26" i="20" a="1"/>
  <c r="E26" i="20" a="1"/>
  <c r="E26" i="20" l="1"/>
  <c r="D26" i="20"/>
  <c r="B27" i="20"/>
  <c r="C27" i="20"/>
  <c r="A28" i="20"/>
  <c r="AC30" i="17"/>
  <c r="U31" i="17" s="1" a="1"/>
  <c r="U31" i="17" s="1"/>
  <c r="W69" i="17"/>
  <c r="V31" i="17" a="1"/>
  <c r="V31" i="17" s="1"/>
  <c r="AB31" i="17" a="1"/>
  <c r="AB31" i="17" s="1"/>
  <c r="AC31" i="17" s="1"/>
  <c r="AD32" i="17"/>
  <c r="AA32" i="17"/>
  <c r="Z33" i="17"/>
  <c r="E27" i="20" a="1"/>
  <c r="D27" i="20" a="1"/>
  <c r="D27" i="20" l="1"/>
  <c r="E27" i="20"/>
  <c r="B28" i="20"/>
  <c r="C28" i="20"/>
  <c r="A29" i="20"/>
  <c r="AB32" i="17" a="1"/>
  <c r="AB32" i="17" s="1"/>
  <c r="AC32" i="17" s="1"/>
  <c r="V32" i="17" a="1"/>
  <c r="V32" i="17" s="1"/>
  <c r="U32" i="17" a="1"/>
  <c r="U32" i="17" s="1"/>
  <c r="AD33" i="17"/>
  <c r="AA33" i="17"/>
  <c r="Z34" i="17"/>
  <c r="D28" i="20" a="1"/>
  <c r="E28" i="20" a="1"/>
  <c r="E28" i="20" l="1"/>
  <c r="D28" i="20"/>
  <c r="B29" i="20"/>
  <c r="A30" i="20"/>
  <c r="C29" i="20"/>
  <c r="U33" i="17" a="1"/>
  <c r="U33" i="17" s="1"/>
  <c r="AA34" i="17"/>
  <c r="AD34" i="17"/>
  <c r="Z35" i="17"/>
  <c r="V33" i="17" a="1"/>
  <c r="V33" i="17" s="1"/>
  <c r="AB33" i="17" a="1"/>
  <c r="AB33" i="17" s="1"/>
  <c r="E29" i="20" a="1"/>
  <c r="D29" i="20" a="1"/>
  <c r="D29" i="20" l="1"/>
  <c r="E29" i="20"/>
  <c r="B30" i="20"/>
  <c r="A31" i="20"/>
  <c r="C30" i="20"/>
  <c r="AC33" i="17"/>
  <c r="U34" i="17" s="1" a="1"/>
  <c r="U34" i="17" s="1"/>
  <c r="AA35" i="17"/>
  <c r="AD35" i="17"/>
  <c r="Z36" i="17"/>
  <c r="V34" i="17" a="1"/>
  <c r="V34" i="17" s="1"/>
  <c r="AB34" i="17" a="1"/>
  <c r="AB34" i="17" s="1"/>
  <c r="E30" i="20" a="1"/>
  <c r="D30" i="20" a="1"/>
  <c r="D30" i="20" l="1"/>
  <c r="E30" i="20"/>
  <c r="A32" i="20"/>
  <c r="C31" i="20"/>
  <c r="B31" i="20"/>
  <c r="AC34" i="17"/>
  <c r="U35" i="17" s="1" a="1"/>
  <c r="U35" i="17" s="1"/>
  <c r="AD36" i="17"/>
  <c r="AA36" i="17"/>
  <c r="Z37" i="17"/>
  <c r="V35" i="17" a="1"/>
  <c r="V35" i="17" s="1"/>
  <c r="AB35" i="17" a="1"/>
  <c r="AB35" i="17" s="1"/>
  <c r="D31" i="20" a="1"/>
  <c r="E31" i="20" a="1"/>
  <c r="E31" i="20" l="1"/>
  <c r="D31" i="20"/>
  <c r="C32" i="20"/>
  <c r="A33" i="20"/>
  <c r="B32" i="20"/>
  <c r="AC35" i="17"/>
  <c r="AD37" i="17"/>
  <c r="AA37" i="17"/>
  <c r="Z38" i="17"/>
  <c r="Z39" i="17" s="1"/>
  <c r="Z40" i="17" s="1"/>
  <c r="U36" i="17" a="1"/>
  <c r="U36" i="17" s="1"/>
  <c r="AB36" i="17" a="1"/>
  <c r="AB36" i="17" s="1"/>
  <c r="AC36" i="17" s="1"/>
  <c r="V36" i="17" a="1"/>
  <c r="V36" i="17" s="1"/>
  <c r="E32" i="20" a="1"/>
  <c r="D32" i="20" a="1"/>
  <c r="D32" i="20" l="1"/>
  <c r="E32" i="20"/>
  <c r="A34" i="20"/>
  <c r="C33" i="20"/>
  <c r="B33" i="20"/>
  <c r="AD40" i="17"/>
  <c r="Z41" i="17"/>
  <c r="AA40" i="17"/>
  <c r="AA39" i="17"/>
  <c r="AD39" i="17"/>
  <c r="U37" i="17" a="1"/>
  <c r="U37" i="17" s="1"/>
  <c r="AD38" i="17"/>
  <c r="AA38" i="17"/>
  <c r="V37" i="17" a="1"/>
  <c r="V37" i="17" s="1"/>
  <c r="AB37" i="17" a="1"/>
  <c r="AB37" i="17" s="1"/>
  <c r="AC37" i="17" s="1"/>
  <c r="D33" i="20" a="1"/>
  <c r="E33" i="20" a="1"/>
  <c r="E33" i="20" l="1"/>
  <c r="D33" i="20"/>
  <c r="C34" i="20"/>
  <c r="B34" i="20"/>
  <c r="A35" i="20"/>
  <c r="V40" i="17" a="1"/>
  <c r="V40" i="17" s="1"/>
  <c r="AB40" i="17" a="1"/>
  <c r="AB40" i="17" s="1"/>
  <c r="AD41" i="17"/>
  <c r="AA41" i="17"/>
  <c r="Z42" i="17"/>
  <c r="U38" i="17" a="1"/>
  <c r="U38" i="17" s="1"/>
  <c r="AB39" i="17" a="1"/>
  <c r="AB39" i="17" s="1"/>
  <c r="V39" i="17" a="1"/>
  <c r="V39" i="17" s="1"/>
  <c r="V38" i="17" a="1"/>
  <c r="V38" i="17" s="1"/>
  <c r="AB38" i="17" a="1"/>
  <c r="AB38" i="17" s="1"/>
  <c r="D34" i="20" a="1"/>
  <c r="E34" i="20" a="1"/>
  <c r="E34" i="20" l="1"/>
  <c r="D34" i="20"/>
  <c r="C35" i="20"/>
  <c r="B35" i="20"/>
  <c r="A36" i="20"/>
  <c r="AC40" i="17"/>
  <c r="V41" i="17" a="1"/>
  <c r="V41" i="17" s="1"/>
  <c r="AB41" i="17" a="1"/>
  <c r="AB41" i="17" s="1"/>
  <c r="AC41" i="17" s="1"/>
  <c r="AD42" i="17"/>
  <c r="AA42" i="17"/>
  <c r="Z43" i="17"/>
  <c r="AC39" i="17"/>
  <c r="AC38" i="17"/>
  <c r="W38" i="17" s="1"/>
  <c r="E35" i="20" a="1"/>
  <c r="D35" i="20" a="1"/>
  <c r="D35" i="20" l="1"/>
  <c r="E35" i="20"/>
  <c r="A37" i="20"/>
  <c r="B36" i="20"/>
  <c r="C36" i="20"/>
  <c r="AA43" i="17"/>
  <c r="AD43" i="17"/>
  <c r="Z44" i="17"/>
  <c r="AB42" i="17" a="1"/>
  <c r="AB42" i="17" s="1"/>
  <c r="AC42" i="17" s="1"/>
  <c r="V42" i="17" a="1"/>
  <c r="V42" i="17" s="1"/>
  <c r="AE14" i="17"/>
  <c r="U39" i="17" a="1"/>
  <c r="U39" i="17" s="1"/>
  <c r="AE23" i="17"/>
  <c r="AE13" i="17"/>
  <c r="AE18" i="17"/>
  <c r="AE10" i="17"/>
  <c r="AE16" i="17"/>
  <c r="AE27" i="17"/>
  <c r="AE25" i="17"/>
  <c r="AE17" i="17"/>
  <c r="AE12" i="17"/>
  <c r="AE24" i="17"/>
  <c r="AE19" i="17"/>
  <c r="AE26" i="17"/>
  <c r="AE29" i="17"/>
  <c r="D36" i="20" a="1"/>
  <c r="E36" i="20" a="1"/>
  <c r="E36" i="20" l="1"/>
  <c r="D36" i="20"/>
  <c r="A38" i="20"/>
  <c r="B37" i="20"/>
  <c r="C37" i="20"/>
  <c r="W39" i="17"/>
  <c r="AE46" i="17" s="1"/>
  <c r="U40" i="17" a="1"/>
  <c r="U40" i="17" s="1"/>
  <c r="U41" i="17" s="1" a="1"/>
  <c r="U41" i="17" s="1"/>
  <c r="U42" i="17" s="1" a="1"/>
  <c r="U42" i="17" s="1"/>
  <c r="U43" i="17" s="1" a="1"/>
  <c r="U43" i="17" s="1"/>
  <c r="AD44" i="17"/>
  <c r="AA44" i="17"/>
  <c r="Z45" i="17"/>
  <c r="AB43" i="17" a="1"/>
  <c r="AB43" i="17" s="1"/>
  <c r="AC43" i="17" s="1"/>
  <c r="V43" i="17" a="1"/>
  <c r="V43" i="17" s="1"/>
  <c r="AE20" i="17"/>
  <c r="AE42" i="17"/>
  <c r="AE47" i="17"/>
  <c r="AE48" i="17"/>
  <c r="AE49" i="17"/>
  <c r="AE41" i="17"/>
  <c r="AE44" i="17"/>
  <c r="AE30" i="17"/>
  <c r="AE15" i="17"/>
  <c r="AE22" i="17"/>
  <c r="AE11" i="17"/>
  <c r="AE33" i="17"/>
  <c r="AE28" i="17"/>
  <c r="AE35" i="17"/>
  <c r="AE21" i="17"/>
  <c r="D37" i="20" a="1"/>
  <c r="E37" i="20" a="1"/>
  <c r="E37" i="20" l="1"/>
  <c r="D37" i="20"/>
  <c r="B38" i="20"/>
  <c r="C38" i="20"/>
  <c r="A39" i="20"/>
  <c r="AE40" i="17"/>
  <c r="U44" i="17" a="1"/>
  <c r="U44" i="17" s="1"/>
  <c r="AA45" i="17"/>
  <c r="AD45" i="17"/>
  <c r="Z46" i="17"/>
  <c r="AE39" i="17"/>
  <c r="AE38" i="17"/>
  <c r="AE34" i="17"/>
  <c r="AE36" i="17"/>
  <c r="AE37" i="17"/>
  <c r="AE31" i="17"/>
  <c r="AE32" i="17"/>
  <c r="AE45" i="17"/>
  <c r="AE43" i="17"/>
  <c r="V44" i="17" a="1"/>
  <c r="V44" i="17" s="1"/>
  <c r="AB44" i="17" a="1"/>
  <c r="AB44" i="17" s="1"/>
  <c r="AC44" i="17" s="1"/>
  <c r="U45" i="17" s="1" a="1"/>
  <c r="U45" i="17" s="1"/>
  <c r="D38" i="20" a="1"/>
  <c r="E38" i="20" a="1"/>
  <c r="E38" i="20" l="1"/>
  <c r="D38" i="20"/>
  <c r="A40" i="20"/>
  <c r="C39" i="20"/>
  <c r="B39" i="20"/>
  <c r="AB45" i="17" a="1"/>
  <c r="AB45" i="17" s="1"/>
  <c r="AC45" i="17" s="1"/>
  <c r="V45" i="17" a="1"/>
  <c r="V45" i="17" s="1"/>
  <c r="AA46" i="17"/>
  <c r="AD46" i="17"/>
  <c r="Z47" i="17"/>
  <c r="E39" i="20" a="1"/>
  <c r="D39" i="20" a="1"/>
  <c r="D39" i="20" l="1"/>
  <c r="E39" i="20"/>
  <c r="A41" i="20"/>
  <c r="B40" i="20"/>
  <c r="C40" i="20"/>
  <c r="AB46" i="17" a="1"/>
  <c r="AB46" i="17" s="1"/>
  <c r="AC46" i="17" s="1"/>
  <c r="V46" i="17" a="1"/>
  <c r="V46" i="17" s="1"/>
  <c r="Z48" i="17"/>
  <c r="AD47" i="17"/>
  <c r="AA47" i="17"/>
  <c r="U46" i="17" a="1"/>
  <c r="U46" i="17" s="1"/>
  <c r="D40" i="20" a="1"/>
  <c r="E40" i="20" a="1"/>
  <c r="E40" i="20" l="1"/>
  <c r="D40" i="20"/>
  <c r="C41" i="20"/>
  <c r="A42" i="20"/>
  <c r="B41" i="20"/>
  <c r="U47" i="17" a="1"/>
  <c r="U47" i="17" s="1"/>
  <c r="Z49" i="17"/>
  <c r="AD48" i="17"/>
  <c r="AA48" i="17"/>
  <c r="AB47" i="17" a="1"/>
  <c r="AB47" i="17" s="1"/>
  <c r="AC47" i="17" s="1"/>
  <c r="V47" i="17" a="1"/>
  <c r="V47" i="17" s="1"/>
  <c r="E41" i="20" a="1"/>
  <c r="D41" i="20" a="1"/>
  <c r="D41" i="20" l="1"/>
  <c r="E41" i="20"/>
  <c r="A43" i="20"/>
  <c r="C42" i="20"/>
  <c r="B42" i="20"/>
  <c r="AB48" i="17" a="1"/>
  <c r="AB48" i="17" s="1"/>
  <c r="AC48" i="17" s="1"/>
  <c r="V48" i="17" a="1"/>
  <c r="V48" i="17" s="1"/>
  <c r="AA49" i="17"/>
  <c r="AD49" i="17"/>
  <c r="U48" i="17" a="1"/>
  <c r="U48" i="17" s="1"/>
  <c r="D42" i="20" a="1"/>
  <c r="E42" i="20" a="1"/>
  <c r="E42" i="20" l="1"/>
  <c r="D42" i="20"/>
  <c r="B43" i="20"/>
  <c r="A44" i="20"/>
  <c r="C43" i="20"/>
  <c r="U49" i="17" a="1"/>
  <c r="U49" i="17" s="1"/>
  <c r="AB49" i="17" a="1"/>
  <c r="AB49" i="17" s="1"/>
  <c r="AC49" i="17" s="1"/>
  <c r="V49" i="17" a="1"/>
  <c r="V49" i="17" s="1"/>
  <c r="E43" i="20" a="1"/>
  <c r="D43" i="20" a="1"/>
  <c r="D43" i="20" l="1"/>
  <c r="E43" i="20"/>
  <c r="B44" i="20"/>
  <c r="A45" i="20"/>
  <c r="C44" i="20"/>
  <c r="W49" i="17"/>
  <c r="D44" i="20" a="1"/>
  <c r="E44" i="20" a="1"/>
  <c r="E44" i="20" l="1"/>
  <c r="D44" i="20"/>
  <c r="C45" i="20"/>
  <c r="B45" i="20"/>
  <c r="A46" i="20"/>
  <c r="D45" i="20" a="1"/>
  <c r="E45" i="20" a="1"/>
  <c r="E45" i="20" l="1"/>
  <c r="D45" i="20"/>
  <c r="A47" i="20"/>
  <c r="C46" i="20"/>
  <c r="B46" i="20"/>
  <c r="E46" i="20" a="1"/>
  <c r="D46" i="20" a="1"/>
  <c r="D46" i="20" l="1"/>
  <c r="E46" i="20"/>
  <c r="C47" i="20"/>
  <c r="B47" i="20"/>
  <c r="A48" i="20"/>
  <c r="D47" i="20" a="1"/>
  <c r="E47" i="20" a="1"/>
  <c r="E47" i="20" l="1"/>
  <c r="D47" i="20"/>
  <c r="B48" i="20"/>
  <c r="A49" i="20"/>
  <c r="C48" i="20"/>
  <c r="D48" i="20" a="1"/>
  <c r="E48" i="20" a="1"/>
  <c r="E48" i="20" l="1"/>
  <c r="D48" i="20"/>
  <c r="A50" i="20"/>
  <c r="C49" i="20"/>
  <c r="B49" i="20"/>
  <c r="E49" i="20" a="1"/>
  <c r="D49" i="20" a="1"/>
  <c r="D49" i="20" l="1"/>
  <c r="E49" i="20"/>
  <c r="C50" i="20"/>
  <c r="B50" i="20"/>
  <c r="A51" i="20"/>
  <c r="D50" i="20" a="1"/>
  <c r="E50" i="20" a="1"/>
  <c r="E50" i="20" l="1"/>
  <c r="D50" i="20"/>
  <c r="B51" i="20"/>
  <c r="C51" i="20"/>
  <c r="A52" i="20"/>
  <c r="D51" i="20" a="1"/>
  <c r="E51" i="20" a="1"/>
  <c r="E51" i="20" l="1"/>
  <c r="D51" i="20"/>
  <c r="A53" i="20"/>
  <c r="C52" i="20"/>
  <c r="B52" i="20"/>
  <c r="D52" i="20" a="1"/>
  <c r="E52" i="20" a="1"/>
  <c r="E52" i="20" l="1"/>
  <c r="D52" i="20"/>
  <c r="A54" i="20"/>
  <c r="C53" i="20"/>
  <c r="B53" i="20"/>
  <c r="E53" i="20" a="1"/>
  <c r="D53" i="20" a="1"/>
  <c r="D53" i="20" l="1"/>
  <c r="E53" i="20"/>
  <c r="B54" i="20"/>
  <c r="A55" i="20"/>
  <c r="C54" i="20"/>
  <c r="D54" i="20" a="1"/>
  <c r="E54" i="20" a="1"/>
  <c r="E54" i="20" l="1"/>
  <c r="D54" i="20"/>
  <c r="A56" i="20"/>
  <c r="C55" i="20"/>
  <c r="B55" i="20"/>
  <c r="E55" i="20" a="1"/>
  <c r="D55" i="20" a="1"/>
  <c r="D55" i="20" l="1"/>
  <c r="E55" i="20"/>
  <c r="A57" i="20"/>
  <c r="B56" i="20"/>
  <c r="C56" i="20"/>
  <c r="E56" i="20" a="1"/>
  <c r="D56" i="20" a="1"/>
  <c r="D56" i="20" l="1"/>
  <c r="E56" i="20"/>
  <c r="C57" i="20"/>
  <c r="B57" i="20"/>
  <c r="A58" i="20"/>
  <c r="D57" i="20" a="1"/>
  <c r="E57" i="20" a="1"/>
  <c r="E57" i="20" l="1"/>
  <c r="D57" i="20"/>
  <c r="A59" i="20"/>
  <c r="C58" i="20"/>
  <c r="B58" i="20"/>
  <c r="D58" i="20" a="1"/>
  <c r="E58" i="20" a="1"/>
  <c r="E58" i="20" l="1"/>
  <c r="D58" i="20"/>
  <c r="C59" i="20"/>
  <c r="B59" i="20"/>
  <c r="A60" i="20"/>
  <c r="E59" i="20" a="1"/>
  <c r="D59" i="20" a="1"/>
  <c r="D59" i="20" l="1"/>
  <c r="E59" i="20"/>
  <c r="B60" i="20"/>
  <c r="C60" i="20"/>
  <c r="A61" i="20"/>
  <c r="E60" i="20" a="1"/>
  <c r="D60" i="20" a="1"/>
  <c r="D60" i="20" l="1"/>
  <c r="E60" i="20"/>
  <c r="C61" i="20"/>
  <c r="B61" i="20"/>
  <c r="A62" i="20"/>
  <c r="D61" i="20" a="1"/>
  <c r="E61" i="20" a="1"/>
  <c r="E61" i="20" l="1"/>
  <c r="D61" i="20"/>
  <c r="A63" i="20"/>
  <c r="B62" i="20"/>
  <c r="C62" i="20"/>
  <c r="D62" i="20" a="1"/>
  <c r="E62" i="20" a="1"/>
  <c r="E62" i="20" l="1"/>
  <c r="D62" i="20"/>
  <c r="C63" i="20"/>
  <c r="B63" i="20"/>
  <c r="A64" i="20"/>
  <c r="D63" i="20" a="1"/>
  <c r="E63" i="20" a="1"/>
  <c r="E63" i="20" l="1"/>
  <c r="D63" i="20"/>
  <c r="A65" i="20"/>
  <c r="B64" i="20"/>
  <c r="C64" i="20"/>
  <c r="D64" i="20" a="1"/>
  <c r="E64" i="20" a="1"/>
  <c r="E64" i="20" l="1"/>
  <c r="D64" i="20"/>
  <c r="A66" i="20"/>
  <c r="B65" i="20"/>
  <c r="C65" i="20"/>
  <c r="D65" i="20" a="1"/>
  <c r="E65" i="20" a="1"/>
  <c r="E65" i="20" l="1"/>
  <c r="D65" i="20"/>
  <c r="C66" i="20"/>
  <c r="B66" i="20"/>
  <c r="A67" i="20"/>
  <c r="D66" i="20" a="1"/>
  <c r="E66" i="20" a="1"/>
  <c r="E66" i="20" l="1"/>
  <c r="D66" i="20"/>
  <c r="C67" i="20"/>
  <c r="B67" i="20"/>
  <c r="A68" i="20"/>
  <c r="E67" i="20" a="1"/>
  <c r="D67" i="20" a="1"/>
  <c r="D67" i="20" l="1"/>
  <c r="E67" i="20"/>
  <c r="A69" i="20"/>
  <c r="C68" i="20"/>
  <c r="B68" i="20"/>
  <c r="D68" i="20" a="1"/>
  <c r="E68" i="20" a="1"/>
  <c r="E68" i="20" l="1"/>
  <c r="D68" i="20"/>
  <c r="A70" i="20"/>
  <c r="B69" i="20"/>
  <c r="C69" i="20"/>
  <c r="D69" i="20" a="1"/>
  <c r="E69" i="20" a="1"/>
  <c r="E69" i="20" l="1"/>
  <c r="D69" i="20"/>
  <c r="C70" i="20"/>
  <c r="A71" i="20"/>
  <c r="B70" i="20"/>
  <c r="E70" i="20" a="1"/>
  <c r="D70" i="20" a="1"/>
  <c r="D70" i="20" l="1"/>
  <c r="E70" i="20"/>
  <c r="C71" i="20"/>
  <c r="B71" i="20"/>
  <c r="A72" i="20"/>
  <c r="E71" i="20" a="1"/>
  <c r="D71" i="20" a="1"/>
  <c r="D71" i="20" l="1"/>
  <c r="E71" i="20"/>
  <c r="A73" i="20"/>
  <c r="C72" i="20"/>
  <c r="B72" i="20"/>
  <c r="D72" i="20" a="1"/>
  <c r="E72" i="20" a="1"/>
  <c r="E72" i="20" l="1"/>
  <c r="D72" i="20"/>
  <c r="C73" i="20"/>
  <c r="A74" i="20"/>
  <c r="B73" i="20"/>
  <c r="D73" i="20" a="1"/>
  <c r="E73" i="20" a="1"/>
  <c r="E73" i="20" l="1"/>
  <c r="D73" i="20"/>
  <c r="A75" i="20"/>
  <c r="C74" i="20"/>
  <c r="B74" i="20"/>
  <c r="D74" i="20" a="1"/>
  <c r="E74" i="20" a="1"/>
  <c r="E74" i="20" l="1"/>
  <c r="D74" i="20"/>
  <c r="B75" i="20"/>
  <c r="C75" i="20"/>
  <c r="A76" i="20"/>
  <c r="D75" i="20" a="1"/>
  <c r="E75" i="20" a="1"/>
  <c r="E75" i="20" l="1"/>
  <c r="D75" i="20"/>
  <c r="B76" i="20"/>
  <c r="A77" i="20"/>
  <c r="C76" i="20"/>
  <c r="E76" i="20" a="1"/>
  <c r="D76" i="20" a="1"/>
  <c r="D76" i="20" l="1"/>
  <c r="E76" i="20"/>
  <c r="C77" i="20"/>
  <c r="B77" i="20"/>
  <c r="A78" i="20"/>
  <c r="D77" i="20" a="1"/>
  <c r="E77" i="20" a="1"/>
  <c r="E77" i="20" l="1"/>
  <c r="D77" i="20"/>
  <c r="A79" i="20"/>
  <c r="C78" i="20"/>
  <c r="B78" i="20"/>
  <c r="D78" i="20" a="1"/>
  <c r="E78" i="20" a="1"/>
  <c r="E78" i="20" l="1"/>
  <c r="D78" i="20"/>
  <c r="C79" i="20"/>
  <c r="B79" i="20"/>
  <c r="A80" i="20"/>
  <c r="D79" i="20" a="1"/>
  <c r="E79" i="20" a="1"/>
  <c r="E79" i="20" l="1"/>
  <c r="D79" i="20"/>
  <c r="B80" i="20"/>
  <c r="A81" i="20"/>
  <c r="C80" i="20"/>
  <c r="D80" i="20" a="1"/>
  <c r="E80" i="20" a="1"/>
  <c r="E80" i="20" l="1"/>
  <c r="D80" i="20"/>
  <c r="A82" i="20"/>
  <c r="B81" i="20"/>
  <c r="C81" i="20"/>
  <c r="D81" i="20" a="1"/>
  <c r="E81" i="20" a="1"/>
  <c r="E81" i="20" l="1"/>
  <c r="D81" i="20"/>
  <c r="C82" i="20"/>
  <c r="B82" i="20"/>
  <c r="A83" i="20"/>
  <c r="D82" i="20" a="1"/>
  <c r="E82" i="20" a="1"/>
  <c r="E82" i="20" l="1"/>
  <c r="D82" i="20"/>
  <c r="B83" i="20"/>
  <c r="C83" i="20"/>
  <c r="A84" i="20"/>
  <c r="D83" i="20" a="1"/>
  <c r="E83" i="20" a="1"/>
  <c r="E83" i="20" l="1"/>
  <c r="D83" i="20"/>
  <c r="A85" i="20"/>
  <c r="B84" i="20"/>
  <c r="C84" i="20"/>
  <c r="D84" i="20" a="1"/>
  <c r="E84" i="20" a="1"/>
  <c r="E84" i="20" l="1"/>
  <c r="D84" i="20"/>
  <c r="B85" i="20"/>
  <c r="C85" i="20"/>
  <c r="A86" i="20"/>
  <c r="E85" i="20" a="1"/>
  <c r="D85" i="20" a="1"/>
  <c r="D85" i="20" l="1"/>
  <c r="E85" i="20"/>
  <c r="A87" i="20"/>
  <c r="C86" i="20"/>
  <c r="B86" i="20"/>
  <c r="E86" i="20" a="1"/>
  <c r="D86" i="20" a="1"/>
  <c r="D86" i="20" l="1"/>
  <c r="E86" i="20"/>
  <c r="C87" i="20"/>
  <c r="B87" i="20"/>
  <c r="A88" i="20"/>
  <c r="E87" i="20" a="1"/>
  <c r="D87" i="20" a="1"/>
  <c r="D87" i="20" l="1"/>
  <c r="E87" i="20"/>
  <c r="A89" i="20"/>
  <c r="B88" i="20"/>
  <c r="C88" i="20"/>
  <c r="E88" i="20" a="1"/>
  <c r="D88" i="20" a="1"/>
  <c r="D88" i="20" l="1"/>
  <c r="E88" i="20"/>
  <c r="C89" i="20"/>
  <c r="B89" i="20"/>
  <c r="A90" i="20"/>
  <c r="D89" i="20" a="1"/>
  <c r="E89" i="20" a="1"/>
  <c r="E89" i="20" l="1"/>
  <c r="D89" i="20"/>
  <c r="A91" i="20"/>
  <c r="C90" i="20"/>
  <c r="B90" i="20"/>
  <c r="D90" i="20" a="1"/>
  <c r="E90" i="20" a="1"/>
  <c r="E90" i="20" l="1"/>
  <c r="D90" i="20"/>
  <c r="B91" i="20"/>
  <c r="C91" i="20"/>
  <c r="A92" i="20"/>
  <c r="D91" i="20" a="1"/>
  <c r="E91" i="20" a="1"/>
  <c r="E91" i="20" l="1"/>
  <c r="D91" i="20"/>
  <c r="A93" i="20"/>
  <c r="C92" i="20"/>
  <c r="B92" i="20"/>
  <c r="D92" i="20" a="1"/>
  <c r="E92" i="20" a="1"/>
  <c r="E92" i="20" l="1"/>
  <c r="D92" i="20"/>
  <c r="C93" i="20"/>
  <c r="B93" i="20"/>
  <c r="A94" i="20"/>
  <c r="D93" i="20" a="1"/>
  <c r="E93" i="20" a="1"/>
  <c r="E93" i="20" l="1"/>
  <c r="D93" i="20"/>
  <c r="A95" i="20"/>
  <c r="B94" i="20"/>
  <c r="C94" i="20"/>
  <c r="D94" i="20" a="1"/>
  <c r="E94" i="20" a="1"/>
  <c r="E94" i="20" l="1"/>
  <c r="D94" i="20"/>
  <c r="C95" i="20"/>
  <c r="B95" i="20"/>
  <c r="A96" i="20"/>
  <c r="D95" i="20" a="1"/>
  <c r="E95" i="20" a="1"/>
  <c r="E95" i="20" l="1"/>
  <c r="D95" i="20"/>
  <c r="A97" i="20"/>
  <c r="B96" i="20"/>
  <c r="C96" i="20"/>
  <c r="D96" i="20" a="1"/>
  <c r="E96" i="20" a="1"/>
  <c r="E96" i="20" l="1"/>
  <c r="D96" i="20"/>
  <c r="A98" i="20"/>
  <c r="C97" i="20"/>
  <c r="B97" i="20"/>
  <c r="D97" i="20" a="1"/>
  <c r="E97" i="20" a="1"/>
  <c r="E97" i="20" l="1"/>
  <c r="D97" i="20"/>
  <c r="C98" i="20"/>
  <c r="B98" i="20"/>
  <c r="A99" i="20"/>
  <c r="D98" i="20" a="1"/>
  <c r="E98" i="20" a="1"/>
  <c r="E98" i="20" l="1"/>
  <c r="D98" i="20"/>
  <c r="C99" i="20"/>
  <c r="B99" i="20"/>
  <c r="A100" i="20"/>
  <c r="E99" i="20" a="1"/>
  <c r="D99" i="20" a="1"/>
  <c r="D99" i="20" l="1"/>
  <c r="E99" i="20"/>
  <c r="A101" i="20"/>
  <c r="B100" i="20"/>
  <c r="C100" i="20"/>
  <c r="E100" i="20" a="1"/>
  <c r="D100" i="20" a="1"/>
  <c r="D100" i="20" l="1"/>
  <c r="E100" i="20"/>
  <c r="A102" i="20"/>
  <c r="C101" i="20"/>
  <c r="B101" i="20"/>
  <c r="E101" i="20" a="1"/>
  <c r="D101" i="20" a="1"/>
  <c r="D101" i="20" l="1"/>
  <c r="E101" i="20"/>
  <c r="C102" i="20"/>
  <c r="A103" i="20"/>
  <c r="B102" i="20"/>
  <c r="E102" i="20" a="1"/>
  <c r="D102" i="20" a="1"/>
  <c r="D102" i="20" l="1"/>
  <c r="E102" i="20"/>
  <c r="C103" i="20"/>
  <c r="B103" i="20"/>
  <c r="A104" i="20"/>
  <c r="D103" i="20" a="1"/>
  <c r="E103" i="20" a="1"/>
  <c r="E103" i="20" l="1"/>
  <c r="D103" i="20"/>
  <c r="A105" i="20"/>
  <c r="C104" i="20"/>
  <c r="B104" i="20"/>
  <c r="E104" i="20" a="1"/>
  <c r="D104" i="20" a="1"/>
  <c r="D104" i="20" l="1"/>
  <c r="E104" i="20"/>
  <c r="C105" i="20"/>
  <c r="B105" i="20"/>
  <c r="A106" i="20"/>
  <c r="E105" i="20" a="1"/>
  <c r="D105" i="20" a="1"/>
  <c r="D105" i="20" l="1"/>
  <c r="E105" i="20"/>
  <c r="A107" i="20"/>
  <c r="C106" i="20"/>
  <c r="B106" i="20"/>
  <c r="D106" i="20" a="1"/>
  <c r="E106" i="20" a="1"/>
  <c r="E106" i="20" l="1"/>
  <c r="D106" i="20"/>
  <c r="B107" i="20"/>
  <c r="C107" i="20"/>
  <c r="A108" i="20"/>
  <c r="D107" i="20" a="1"/>
  <c r="E107" i="20" a="1"/>
  <c r="E107" i="20" l="1"/>
  <c r="D107" i="20"/>
  <c r="B108" i="20"/>
  <c r="A109" i="20"/>
  <c r="C108" i="20"/>
  <c r="E108" i="20" a="1"/>
  <c r="D108" i="20" a="1"/>
  <c r="D108" i="20" l="1"/>
  <c r="E108" i="20"/>
  <c r="C109" i="20"/>
  <c r="B109" i="20"/>
  <c r="A110" i="20"/>
  <c r="D109" i="20" a="1"/>
  <c r="E109" i="20" a="1"/>
  <c r="E109" i="20" l="1"/>
  <c r="D109" i="20"/>
  <c r="A111" i="20"/>
  <c r="C110" i="20"/>
  <c r="B110" i="20"/>
  <c r="D110" i="20" a="1"/>
  <c r="E110" i="20" a="1"/>
  <c r="E110" i="20" l="1"/>
  <c r="D110" i="20"/>
  <c r="C111" i="20"/>
  <c r="B111" i="20"/>
  <c r="A112" i="20"/>
  <c r="D111" i="20" a="1"/>
  <c r="E111" i="20" a="1"/>
  <c r="E111" i="20" l="1"/>
  <c r="D111" i="20"/>
  <c r="B112" i="20"/>
  <c r="C112" i="20"/>
  <c r="A113" i="20"/>
  <c r="E112" i="20" a="1"/>
  <c r="D112" i="20" a="1"/>
  <c r="D112" i="20" l="1"/>
  <c r="E112" i="20"/>
  <c r="A114" i="20"/>
  <c r="B113" i="20"/>
  <c r="C113" i="20"/>
  <c r="E113" i="20" a="1"/>
  <c r="D113" i="20" a="1"/>
  <c r="D113" i="20" l="1"/>
  <c r="E113" i="20"/>
  <c r="C114" i="20"/>
  <c r="A115" i="20"/>
  <c r="B114" i="20"/>
  <c r="D114" i="20" a="1"/>
  <c r="E114" i="20" a="1"/>
  <c r="E114" i="20" l="1"/>
  <c r="D114" i="20"/>
  <c r="B115" i="20"/>
  <c r="A116" i="20"/>
  <c r="C115" i="20"/>
  <c r="D115" i="20" a="1"/>
  <c r="E115" i="20" a="1"/>
  <c r="E115" i="20" l="1"/>
  <c r="D115" i="20"/>
  <c r="A117" i="20"/>
  <c r="B116" i="20"/>
  <c r="C116" i="20"/>
  <c r="D116" i="20" a="1"/>
  <c r="E116" i="20" a="1"/>
  <c r="E116" i="20" l="1"/>
  <c r="D116" i="20"/>
  <c r="C117" i="20"/>
  <c r="B117" i="20"/>
  <c r="A118" i="20"/>
  <c r="D117" i="20" a="1"/>
  <c r="E117" i="20" a="1"/>
  <c r="E117" i="20" l="1"/>
  <c r="D117" i="20"/>
  <c r="A119" i="20"/>
  <c r="C118" i="20"/>
  <c r="B118" i="20"/>
  <c r="E118" i="20" a="1"/>
  <c r="D118" i="20" a="1"/>
  <c r="D118" i="20" l="1"/>
  <c r="E118" i="20"/>
  <c r="C119" i="20"/>
  <c r="B119" i="20"/>
  <c r="A120" i="20"/>
  <c r="D119" i="20" a="1"/>
  <c r="E119" i="20" a="1"/>
  <c r="E119" i="20" l="1"/>
  <c r="D119" i="20"/>
  <c r="A121" i="20"/>
  <c r="B120" i="20"/>
  <c r="C120" i="20"/>
  <c r="D120" i="20" a="1"/>
  <c r="E120" i="20" a="1"/>
  <c r="E120" i="20" l="1"/>
  <c r="D120" i="20"/>
  <c r="C121" i="20"/>
  <c r="B121" i="20"/>
  <c r="A122" i="20"/>
  <c r="E121" i="20" a="1"/>
  <c r="D121" i="20" a="1"/>
  <c r="D121" i="20" l="1"/>
  <c r="E121" i="20"/>
  <c r="A123" i="20"/>
  <c r="C122" i="20"/>
  <c r="B122" i="20"/>
  <c r="D122" i="20" a="1"/>
  <c r="E122" i="20" a="1"/>
  <c r="E122" i="20" l="1"/>
  <c r="D122" i="20"/>
  <c r="C123" i="20"/>
  <c r="B123" i="20"/>
  <c r="A124" i="20"/>
  <c r="E123" i="20" a="1"/>
  <c r="D123" i="20" a="1"/>
  <c r="D123" i="20" l="1"/>
  <c r="E123" i="20"/>
  <c r="A125" i="20"/>
  <c r="C124" i="20"/>
  <c r="B124" i="20"/>
  <c r="E124" i="20" a="1"/>
  <c r="D124" i="20" a="1"/>
  <c r="D124" i="20" l="1"/>
  <c r="E124" i="20"/>
  <c r="C125" i="20"/>
  <c r="B125" i="20"/>
  <c r="A126" i="20"/>
  <c r="D125" i="20" a="1"/>
  <c r="E125" i="20" a="1"/>
  <c r="E125" i="20" l="1"/>
  <c r="D125" i="20"/>
  <c r="A127" i="20"/>
  <c r="C126" i="20"/>
  <c r="B126" i="20"/>
  <c r="D126" i="20" a="1"/>
  <c r="E126" i="20" a="1"/>
  <c r="E126" i="20" l="1"/>
  <c r="D126" i="20"/>
  <c r="C127" i="20"/>
  <c r="B127" i="20"/>
  <c r="A128" i="20"/>
  <c r="D127" i="20" a="1"/>
  <c r="E127" i="20" a="1"/>
  <c r="E127" i="20" l="1"/>
  <c r="D127" i="20"/>
  <c r="A129" i="20"/>
  <c r="B128" i="20"/>
  <c r="C128" i="20"/>
  <c r="D128" i="20" a="1"/>
  <c r="E128" i="20" a="1"/>
  <c r="E128" i="20" l="1"/>
  <c r="D128" i="20"/>
  <c r="A130" i="20"/>
  <c r="C129" i="20"/>
  <c r="B129" i="20"/>
  <c r="E129" i="20" a="1"/>
  <c r="D129" i="20" a="1"/>
  <c r="D129" i="20" l="1"/>
  <c r="E129" i="20"/>
  <c r="C130" i="20"/>
  <c r="B130" i="20"/>
  <c r="A131" i="20"/>
  <c r="D130" i="20" a="1"/>
  <c r="E130" i="20" a="1"/>
  <c r="E130" i="20" l="1"/>
  <c r="D130" i="20"/>
  <c r="C131" i="20"/>
  <c r="A132" i="20"/>
  <c r="B131" i="20"/>
  <c r="D131" i="20" a="1"/>
  <c r="E131" i="20" a="1"/>
  <c r="E131" i="20" l="1"/>
  <c r="D131" i="20"/>
  <c r="A133" i="20"/>
  <c r="B132" i="20"/>
  <c r="C132" i="20"/>
  <c r="E132" i="20" a="1"/>
  <c r="D132" i="20" a="1"/>
  <c r="D132" i="20" l="1"/>
  <c r="E132" i="20"/>
  <c r="A134" i="20"/>
  <c r="C133" i="20"/>
  <c r="B133" i="20"/>
  <c r="D133" i="20" a="1"/>
  <c r="E133" i="20" a="1"/>
  <c r="E133" i="20" l="1"/>
  <c r="D133" i="20"/>
  <c r="C134" i="20"/>
  <c r="A135" i="20"/>
  <c r="B134" i="20"/>
  <c r="E134" i="20" a="1"/>
  <c r="D134" i="20" a="1"/>
  <c r="D134" i="20" l="1"/>
  <c r="E134" i="20"/>
  <c r="C135" i="20"/>
  <c r="A136" i="20"/>
  <c r="B135" i="20"/>
  <c r="E135" i="20" a="1"/>
  <c r="D135" i="20" a="1"/>
  <c r="D135" i="20" l="1"/>
  <c r="E135" i="20"/>
  <c r="A137" i="20"/>
  <c r="B136" i="20"/>
  <c r="C136" i="20"/>
  <c r="D136" i="20" a="1"/>
  <c r="E136" i="20" a="1"/>
  <c r="E136" i="20" l="1"/>
  <c r="D136" i="20"/>
  <c r="C137" i="20"/>
  <c r="B137" i="20"/>
  <c r="A138" i="20"/>
  <c r="D137" i="20" a="1"/>
  <c r="E137" i="20" a="1"/>
  <c r="E137" i="20" l="1"/>
  <c r="D137" i="20"/>
  <c r="A139" i="20"/>
  <c r="C138" i="20"/>
  <c r="B138" i="20"/>
  <c r="D138" i="20" a="1"/>
  <c r="E138" i="20" a="1"/>
  <c r="E138" i="20" l="1"/>
  <c r="D138" i="20"/>
  <c r="B139" i="20"/>
  <c r="C139" i="20"/>
  <c r="A140" i="20"/>
  <c r="E139" i="20" a="1"/>
  <c r="D139" i="20" a="1"/>
  <c r="D139" i="20" l="1"/>
  <c r="E139" i="20"/>
  <c r="B140" i="20"/>
  <c r="A141" i="20"/>
  <c r="C140" i="20"/>
  <c r="D140" i="20" a="1"/>
  <c r="E140" i="20" a="1"/>
  <c r="E140" i="20" l="1"/>
  <c r="D140" i="20"/>
  <c r="C141" i="20"/>
  <c r="B141" i="20"/>
  <c r="D141" i="20" a="1"/>
  <c r="E141" i="20" a="1"/>
  <c r="E141" i="20" l="1"/>
  <c r="D141" i="20"/>
  <c r="A143" i="20"/>
  <c r="C142" i="20"/>
  <c r="B142" i="20"/>
  <c r="D142" i="20" a="1"/>
  <c r="E142" i="20" a="1"/>
  <c r="E142" i="20" l="1"/>
  <c r="D142" i="20"/>
  <c r="C143" i="20"/>
  <c r="A144" i="20"/>
  <c r="B143" i="20"/>
  <c r="D143" i="20" a="1"/>
  <c r="E143" i="20" a="1"/>
  <c r="E143" i="20" l="1"/>
  <c r="D143" i="20"/>
  <c r="B144" i="20"/>
  <c r="C144" i="20"/>
  <c r="A145" i="20"/>
  <c r="D144" i="20" a="1"/>
  <c r="E144" i="20" a="1"/>
  <c r="E144" i="20" l="1"/>
  <c r="D144" i="20"/>
  <c r="A146" i="20"/>
  <c r="B145" i="20"/>
  <c r="C145" i="20"/>
  <c r="D145" i="20" a="1"/>
  <c r="E145" i="20" a="1"/>
  <c r="E145" i="20" l="1"/>
  <c r="D145" i="20"/>
  <c r="B146" i="20"/>
  <c r="C146" i="20"/>
  <c r="A147" i="20"/>
  <c r="D146" i="20" a="1"/>
  <c r="E146" i="20" a="1"/>
  <c r="E146" i="20" l="1"/>
  <c r="D146" i="20"/>
  <c r="C147" i="20"/>
  <c r="B147" i="20"/>
  <c r="A148" i="20"/>
  <c r="D147" i="20" a="1"/>
  <c r="E147" i="20" a="1"/>
  <c r="E147" i="20" l="1"/>
  <c r="D147" i="20"/>
  <c r="C148" i="20"/>
  <c r="B148" i="20"/>
  <c r="A149" i="20"/>
  <c r="D148" i="20" a="1"/>
  <c r="E148" i="20" a="1"/>
  <c r="E148" i="20" l="1"/>
  <c r="D148" i="20"/>
  <c r="A150" i="20"/>
  <c r="B149" i="20"/>
  <c r="C149" i="20"/>
  <c r="D149" i="20" a="1"/>
  <c r="E149" i="20" a="1"/>
  <c r="E149" i="20" l="1"/>
  <c r="D149" i="20"/>
  <c r="C150" i="20"/>
  <c r="A151" i="20"/>
  <c r="B150" i="20"/>
  <c r="D150" i="20" a="1"/>
  <c r="E150" i="20" a="1"/>
  <c r="E150" i="20" l="1"/>
  <c r="D150" i="20"/>
  <c r="B151" i="20"/>
  <c r="C151" i="20"/>
  <c r="A152" i="20"/>
  <c r="D151" i="20" a="1"/>
  <c r="E151" i="20" a="1"/>
  <c r="E151" i="20" l="1"/>
  <c r="D151" i="20"/>
  <c r="C152" i="20"/>
  <c r="B152" i="20"/>
  <c r="A153" i="20"/>
  <c r="D152" i="20" a="1"/>
  <c r="E152" i="20" a="1"/>
  <c r="E152" i="20" l="1"/>
  <c r="D152" i="20"/>
  <c r="A154" i="20"/>
  <c r="B153" i="20"/>
  <c r="C153" i="20"/>
  <c r="D153" i="20" a="1"/>
  <c r="E153" i="20" a="1"/>
  <c r="E153" i="20" l="1"/>
  <c r="D153" i="20"/>
  <c r="A155" i="20"/>
  <c r="C154" i="20"/>
  <c r="B154" i="20"/>
  <c r="D154" i="20" a="1"/>
  <c r="E154" i="20" a="1"/>
  <c r="E154" i="20" l="1"/>
  <c r="D154" i="20"/>
  <c r="C155" i="20"/>
  <c r="A156" i="20"/>
  <c r="B155" i="20"/>
  <c r="D155" i="20" a="1"/>
  <c r="E155" i="20" a="1"/>
  <c r="E155" i="20" l="1"/>
  <c r="D155" i="20"/>
  <c r="A157" i="20"/>
  <c r="C156" i="20"/>
  <c r="B156" i="20"/>
  <c r="D156" i="20" a="1"/>
  <c r="E156" i="20" a="1"/>
  <c r="E156" i="20" l="1"/>
  <c r="D156" i="20"/>
  <c r="C157" i="20"/>
  <c r="B157" i="20"/>
  <c r="A158" i="20"/>
  <c r="D157" i="20" a="1"/>
  <c r="E157" i="20" a="1"/>
  <c r="E157" i="20" l="1"/>
  <c r="D157" i="20"/>
  <c r="A159" i="20"/>
  <c r="B158" i="20"/>
  <c r="C158" i="20"/>
  <c r="D158" i="20" a="1"/>
  <c r="E158" i="20" a="1"/>
  <c r="E158" i="20" l="1"/>
  <c r="D158" i="20"/>
  <c r="C159" i="20"/>
  <c r="B159" i="20"/>
  <c r="A160" i="20"/>
  <c r="D159" i="20" a="1"/>
  <c r="E159" i="20" a="1"/>
  <c r="E159" i="20" l="1"/>
  <c r="D159" i="20"/>
  <c r="C160" i="20"/>
  <c r="B160" i="20"/>
  <c r="A161" i="20"/>
  <c r="D160" i="20" a="1"/>
  <c r="E160" i="20" a="1"/>
  <c r="E160" i="20" l="1"/>
  <c r="D160" i="20"/>
  <c r="A162" i="20"/>
  <c r="C161" i="20"/>
  <c r="B161" i="20"/>
  <c r="D161" i="20" a="1"/>
  <c r="E161" i="20" a="1"/>
  <c r="E161" i="20" l="1"/>
  <c r="D161" i="20"/>
  <c r="B162" i="20"/>
  <c r="C162" i="20"/>
  <c r="A163" i="20"/>
  <c r="D162" i="20" a="1"/>
  <c r="E162" i="20" a="1"/>
  <c r="E162" i="20" l="1"/>
  <c r="D162" i="20"/>
  <c r="C163" i="20"/>
  <c r="B163" i="20"/>
  <c r="A164" i="20"/>
  <c r="D163" i="20" a="1"/>
  <c r="E163" i="20" a="1"/>
  <c r="E163" i="20" l="1"/>
  <c r="D163" i="20"/>
  <c r="B164" i="20"/>
  <c r="A165" i="20"/>
  <c r="C164" i="20"/>
  <c r="D164" i="20" a="1"/>
  <c r="E164" i="20" a="1"/>
  <c r="E164" i="20" l="1"/>
  <c r="D164" i="20"/>
  <c r="B165" i="20"/>
  <c r="A166" i="20"/>
  <c r="C165" i="20"/>
  <c r="D165" i="20" a="1"/>
  <c r="E165" i="20" a="1"/>
  <c r="E165" i="20" l="1"/>
  <c r="D165" i="20"/>
  <c r="C166" i="20"/>
  <c r="A167" i="20"/>
  <c r="B166" i="20"/>
  <c r="D166" i="20" a="1"/>
  <c r="E166" i="20" a="1"/>
  <c r="E166" i="20" l="1"/>
  <c r="D166" i="20"/>
  <c r="B167" i="20"/>
  <c r="C167" i="20"/>
  <c r="A168" i="20"/>
  <c r="D167" i="20" a="1"/>
  <c r="E167" i="20" a="1"/>
  <c r="E167" i="20" l="1"/>
  <c r="D167" i="20"/>
  <c r="C168" i="20"/>
  <c r="B168" i="20"/>
  <c r="A169" i="20"/>
  <c r="D168" i="20" a="1"/>
  <c r="E168" i="20" a="1"/>
  <c r="E168" i="20" l="1"/>
  <c r="D168" i="20"/>
  <c r="A170" i="20"/>
  <c r="C169" i="20"/>
  <c r="B169" i="20"/>
  <c r="D169" i="20" a="1"/>
  <c r="E169" i="20" a="1"/>
  <c r="E169" i="20" l="1"/>
  <c r="D169" i="20"/>
  <c r="A171" i="20"/>
  <c r="B170" i="20"/>
  <c r="C170" i="20"/>
  <c r="D170" i="20" a="1"/>
  <c r="E170" i="20" a="1"/>
  <c r="E170" i="20" l="1"/>
  <c r="D170" i="20"/>
  <c r="C171" i="20"/>
  <c r="B171" i="20"/>
  <c r="A172" i="20"/>
  <c r="D171" i="20" a="1"/>
  <c r="E171" i="20" a="1"/>
  <c r="E171" i="20" l="1"/>
  <c r="D171" i="20"/>
  <c r="C172" i="20"/>
  <c r="B172" i="20"/>
  <c r="A173" i="20"/>
  <c r="D172" i="20" a="1"/>
  <c r="E172" i="20" a="1"/>
  <c r="E172" i="20" l="1"/>
  <c r="D172" i="20"/>
  <c r="C173" i="20"/>
  <c r="A174" i="20"/>
  <c r="B173" i="20"/>
  <c r="D173" i="20" a="1"/>
  <c r="E173" i="20" a="1"/>
  <c r="E173" i="20" l="1"/>
  <c r="D173" i="20"/>
  <c r="A175" i="20"/>
  <c r="C174" i="20"/>
  <c r="B174" i="20"/>
  <c r="D174" i="20" a="1"/>
  <c r="E174" i="20" a="1"/>
  <c r="E174" i="20" l="1"/>
  <c r="D174" i="20"/>
  <c r="B175" i="20"/>
  <c r="C175" i="20"/>
  <c r="A176" i="20"/>
  <c r="D175" i="20" a="1"/>
  <c r="E175" i="20" a="1"/>
  <c r="E175" i="20" l="1"/>
  <c r="D175" i="20"/>
  <c r="B176" i="20"/>
  <c r="A177" i="20"/>
  <c r="C176" i="20"/>
  <c r="D176" i="20" a="1"/>
  <c r="E176" i="20" a="1"/>
  <c r="E176" i="20" l="1"/>
  <c r="D176" i="20"/>
  <c r="B177" i="20"/>
  <c r="A178" i="20"/>
  <c r="C177" i="20"/>
  <c r="D177" i="20" a="1"/>
  <c r="E177" i="20" a="1"/>
  <c r="E177" i="20" l="1"/>
  <c r="D177" i="20"/>
  <c r="B178" i="20"/>
  <c r="C178" i="20"/>
  <c r="A179" i="20"/>
  <c r="D178" i="20" a="1"/>
  <c r="E178" i="20" a="1"/>
  <c r="E178" i="20" l="1"/>
  <c r="D178" i="20"/>
  <c r="C179" i="20"/>
  <c r="B179" i="20"/>
  <c r="A180" i="20"/>
  <c r="D179" i="20" a="1"/>
  <c r="E179" i="20" a="1"/>
  <c r="E179" i="20" l="1"/>
  <c r="D179" i="20"/>
  <c r="C180" i="20"/>
  <c r="B180" i="20"/>
  <c r="A181" i="20"/>
  <c r="D180" i="20" a="1"/>
  <c r="E180" i="20" a="1"/>
  <c r="E180" i="20" l="1"/>
  <c r="D180" i="20"/>
  <c r="A182" i="20"/>
  <c r="B181" i="20"/>
  <c r="C181" i="20"/>
  <c r="D181" i="20" a="1"/>
  <c r="E181" i="20" a="1"/>
  <c r="E181" i="20" l="1"/>
  <c r="D181" i="20"/>
  <c r="C182" i="20"/>
  <c r="A183" i="20"/>
  <c r="B182" i="20"/>
  <c r="D182" i="20" a="1"/>
  <c r="E182" i="20" a="1"/>
  <c r="E182" i="20" l="1"/>
  <c r="D182" i="20"/>
  <c r="C183" i="20"/>
  <c r="B183" i="20"/>
  <c r="A184" i="20"/>
  <c r="D183" i="20" a="1"/>
  <c r="E183" i="20" a="1"/>
  <c r="E183" i="20" l="1"/>
  <c r="D183" i="20"/>
  <c r="C184" i="20"/>
  <c r="B184" i="20"/>
  <c r="A185" i="20"/>
  <c r="D184" i="20" a="1"/>
  <c r="E184" i="20" a="1"/>
  <c r="E184" i="20" l="1"/>
  <c r="D184" i="20"/>
  <c r="A186" i="20"/>
  <c r="B185" i="20"/>
  <c r="C185" i="20"/>
  <c r="D185" i="20" a="1"/>
  <c r="E185" i="20" a="1"/>
  <c r="E185" i="20" l="1"/>
  <c r="D185" i="20"/>
  <c r="A187" i="20"/>
  <c r="C186" i="20"/>
  <c r="B186" i="20"/>
  <c r="D186" i="20" a="1"/>
  <c r="E186" i="20" a="1"/>
  <c r="E186" i="20" l="1"/>
  <c r="D186" i="20"/>
  <c r="C187" i="20"/>
  <c r="B187" i="20"/>
  <c r="A188" i="20"/>
  <c r="D187" i="20" a="1"/>
  <c r="E187" i="20" a="1"/>
  <c r="E187" i="20" l="1"/>
  <c r="D187" i="20"/>
  <c r="A189" i="20"/>
  <c r="C188" i="20"/>
  <c r="B188" i="20"/>
  <c r="D188" i="20" a="1"/>
  <c r="E188" i="20" a="1"/>
  <c r="E188" i="20" l="1"/>
  <c r="D188" i="20"/>
  <c r="B189" i="20"/>
  <c r="A190" i="20"/>
  <c r="C189" i="20"/>
  <c r="D189" i="20" a="1"/>
  <c r="E189" i="20" a="1"/>
  <c r="E189" i="20" l="1"/>
  <c r="D189" i="20"/>
  <c r="A191" i="20"/>
  <c r="C190" i="20"/>
  <c r="B190" i="20"/>
  <c r="D190" i="20" a="1"/>
  <c r="E190" i="20" a="1"/>
  <c r="E190" i="20" l="1"/>
  <c r="D190" i="20"/>
  <c r="B191" i="20"/>
  <c r="A192" i="20"/>
  <c r="C191" i="20"/>
  <c r="D191" i="20" a="1"/>
  <c r="E191" i="20" a="1"/>
  <c r="E191" i="20" l="1"/>
  <c r="D191" i="20"/>
  <c r="C192" i="20"/>
  <c r="B192" i="20"/>
  <c r="A193" i="20"/>
  <c r="D192" i="20" a="1"/>
  <c r="E192" i="20" a="1"/>
  <c r="E192" i="20" l="1"/>
  <c r="D192" i="20"/>
  <c r="A194" i="20"/>
  <c r="B193" i="20"/>
  <c r="C193" i="20"/>
  <c r="D193" i="20" a="1"/>
  <c r="E193" i="20" a="1"/>
  <c r="E193" i="20" l="1"/>
  <c r="D193" i="20"/>
  <c r="B194" i="20"/>
  <c r="C194" i="20"/>
  <c r="A195" i="20"/>
  <c r="D194" i="20" a="1"/>
  <c r="E194" i="20" a="1"/>
  <c r="E194" i="20" l="1"/>
  <c r="D194" i="20"/>
  <c r="C195" i="20"/>
  <c r="B195" i="20"/>
  <c r="A196" i="20"/>
  <c r="D195" i="20" a="1"/>
  <c r="E195" i="20" a="1"/>
  <c r="E195" i="20" l="1"/>
  <c r="D195" i="20"/>
  <c r="B196" i="20"/>
  <c r="A197" i="20"/>
  <c r="C196" i="20"/>
  <c r="D196" i="20" a="1"/>
  <c r="E196" i="20" a="1"/>
  <c r="E196" i="20" l="1"/>
  <c r="D196" i="20"/>
  <c r="B197" i="20"/>
  <c r="C197" i="20"/>
  <c r="A198" i="20"/>
  <c r="D197" i="20" a="1"/>
  <c r="E197" i="20" a="1"/>
  <c r="E197" i="20" l="1"/>
  <c r="D197" i="20"/>
  <c r="C198" i="20"/>
  <c r="A199" i="20"/>
  <c r="B198" i="20"/>
  <c r="D198" i="20" a="1"/>
  <c r="E198" i="20" a="1"/>
  <c r="E198" i="20" l="1"/>
  <c r="D198" i="20"/>
  <c r="C199" i="20"/>
  <c r="B199" i="20"/>
  <c r="A200" i="20"/>
  <c r="D199" i="20" a="1"/>
  <c r="E199" i="20" a="1"/>
  <c r="E199" i="20" l="1"/>
  <c r="D199" i="20"/>
  <c r="C200" i="20"/>
  <c r="B200" i="20"/>
  <c r="A201" i="20"/>
  <c r="D200" i="20" a="1"/>
  <c r="E200" i="20" a="1"/>
  <c r="E200" i="20" l="1"/>
  <c r="D200" i="20"/>
  <c r="A202" i="20"/>
  <c r="C201" i="20"/>
  <c r="B201" i="20"/>
  <c r="D201" i="20" a="1"/>
  <c r="E201" i="20" a="1"/>
  <c r="E201" i="20" l="1"/>
  <c r="D201" i="20"/>
  <c r="A203" i="20"/>
  <c r="C202" i="20"/>
  <c r="B202" i="20"/>
  <c r="D202" i="20" a="1"/>
  <c r="E202" i="20" a="1"/>
  <c r="E202" i="20" l="1"/>
  <c r="D202" i="20"/>
  <c r="B203" i="20"/>
  <c r="A204" i="20"/>
  <c r="C203" i="20"/>
  <c r="D203" i="20" a="1"/>
  <c r="E203" i="20" a="1"/>
  <c r="E203" i="20" l="1"/>
  <c r="D203" i="20"/>
  <c r="A205" i="20"/>
  <c r="B204" i="20"/>
  <c r="C204" i="20"/>
  <c r="D204" i="20" a="1"/>
  <c r="E204" i="20" a="1"/>
  <c r="E204" i="20" l="1"/>
  <c r="D204" i="20"/>
  <c r="C205" i="20"/>
  <c r="A206" i="20"/>
  <c r="B205" i="20"/>
  <c r="D205" i="20" a="1"/>
  <c r="E205" i="20" a="1"/>
  <c r="E205" i="20" l="1"/>
  <c r="D205" i="20"/>
  <c r="A207" i="20"/>
  <c r="C206" i="20"/>
  <c r="B206" i="20"/>
  <c r="D206" i="20" a="1"/>
  <c r="E206" i="20" a="1"/>
  <c r="E206" i="20" l="1"/>
  <c r="D206" i="20"/>
  <c r="B207" i="20"/>
  <c r="A208" i="20"/>
  <c r="A209" i="20" s="1"/>
  <c r="C207" i="20"/>
  <c r="D207" i="20" a="1"/>
  <c r="E207" i="20" a="1"/>
  <c r="A210" i="20" l="1"/>
  <c r="B209" i="20"/>
  <c r="C209" i="20"/>
  <c r="E207" i="20"/>
  <c r="D207" i="20"/>
  <c r="B208" i="20"/>
  <c r="C208" i="20"/>
  <c r="E209" i="20" a="1"/>
  <c r="D209" i="20" a="1"/>
  <c r="E208" i="20" a="1"/>
  <c r="D208" i="20" a="1"/>
  <c r="D209" i="20" l="1"/>
  <c r="E209" i="20"/>
  <c r="A211" i="20"/>
  <c r="C210" i="20"/>
  <c r="B210" i="20"/>
  <c r="E208" i="20"/>
  <c r="D208" i="20"/>
  <c r="E210" i="20" a="1"/>
  <c r="D210" i="20" a="1"/>
  <c r="D210" i="20" l="1"/>
  <c r="E210" i="20"/>
  <c r="B211" i="20"/>
  <c r="C211" i="20"/>
  <c r="A212" i="20"/>
  <c r="D211" i="20" a="1"/>
  <c r="E211" i="20" a="1"/>
  <c r="E211" i="20" l="1"/>
  <c r="D211" i="20"/>
  <c r="B212" i="20"/>
  <c r="C212" i="20"/>
  <c r="A213" i="20"/>
  <c r="E212" i="20" a="1"/>
  <c r="D212" i="20" a="1"/>
  <c r="D212" i="20" l="1"/>
  <c r="E212" i="20"/>
  <c r="A214" i="20"/>
  <c r="B213" i="20"/>
  <c r="C213" i="20"/>
  <c r="D213" i="20" a="1"/>
  <c r="E213" i="20" a="1"/>
  <c r="E213" i="20" l="1"/>
  <c r="D213" i="20"/>
  <c r="C214" i="20"/>
  <c r="B214" i="20"/>
  <c r="A215" i="20"/>
  <c r="E214" i="20" a="1"/>
  <c r="D214" i="20" a="1"/>
  <c r="D214" i="20" l="1"/>
  <c r="E214" i="20"/>
  <c r="A216" i="20"/>
  <c r="C215" i="20"/>
  <c r="B215" i="20"/>
  <c r="E215" i="20" a="1"/>
  <c r="D215" i="20" a="1"/>
  <c r="D215" i="20" l="1"/>
  <c r="E215" i="20"/>
  <c r="B216" i="20"/>
  <c r="C216" i="20"/>
  <c r="A217" i="20"/>
  <c r="E216" i="20" a="1"/>
  <c r="D216" i="20" a="1"/>
  <c r="D216" i="20" l="1"/>
  <c r="E216" i="20"/>
  <c r="A218" i="20"/>
  <c r="C217" i="20"/>
  <c r="B217" i="20"/>
  <c r="E217" i="20" a="1"/>
  <c r="D217" i="20" a="1"/>
  <c r="D217" i="20" l="1"/>
  <c r="E217" i="20"/>
  <c r="B218" i="20"/>
  <c r="C218" i="20"/>
  <c r="A219" i="20"/>
  <c r="D218" i="20" a="1"/>
  <c r="E218" i="20" a="1"/>
  <c r="E218" i="20" l="1"/>
  <c r="D218" i="20"/>
  <c r="B219" i="20"/>
  <c r="C219" i="20"/>
  <c r="A220" i="20"/>
  <c r="D219" i="20" a="1"/>
  <c r="E219" i="20" a="1"/>
  <c r="E219" i="20" l="1"/>
  <c r="D219" i="20"/>
  <c r="A221" i="20"/>
  <c r="B220" i="20"/>
  <c r="C220" i="20"/>
  <c r="D220" i="20" a="1"/>
  <c r="E220" i="20" a="1"/>
  <c r="E220" i="20" l="1"/>
  <c r="D220" i="20"/>
  <c r="B221" i="20"/>
  <c r="C221" i="20"/>
  <c r="A222" i="20"/>
  <c r="D221" i="20" a="1"/>
  <c r="E221" i="20" a="1"/>
  <c r="E221" i="20" l="1"/>
  <c r="D221" i="20"/>
  <c r="A223" i="20"/>
  <c r="B222" i="20"/>
  <c r="C222" i="20"/>
  <c r="D222" i="20" a="1"/>
  <c r="E222" i="20" a="1"/>
  <c r="E222" i="20" l="1"/>
  <c r="D222" i="20"/>
  <c r="C223" i="20"/>
  <c r="A224" i="20"/>
  <c r="B223" i="20"/>
  <c r="D223" i="20" a="1"/>
  <c r="E223" i="20" a="1"/>
  <c r="E223" i="20" l="1"/>
  <c r="D223" i="20"/>
  <c r="A225" i="20"/>
  <c r="C224" i="20"/>
  <c r="B224" i="20"/>
  <c r="E224" i="20" a="1"/>
  <c r="D224" i="20" a="1"/>
  <c r="D224" i="20" l="1"/>
  <c r="E224" i="20"/>
  <c r="B225" i="20"/>
  <c r="A226" i="20"/>
  <c r="C225" i="20"/>
  <c r="D225" i="20" a="1"/>
  <c r="E225" i="20" a="1"/>
  <c r="E225" i="20" l="1"/>
  <c r="D225" i="20"/>
  <c r="B226" i="20"/>
  <c r="A227" i="20"/>
  <c r="C226" i="20"/>
  <c r="E226" i="20" a="1"/>
  <c r="D226" i="20" a="1"/>
  <c r="D226" i="20" l="1"/>
  <c r="E226" i="20"/>
  <c r="C227" i="20"/>
  <c r="B227" i="20"/>
  <c r="A228" i="20"/>
  <c r="E227" i="20" a="1"/>
  <c r="D227" i="20" a="1"/>
  <c r="D227" i="20" l="1"/>
  <c r="E227" i="20"/>
  <c r="A229" i="20"/>
  <c r="B228" i="20"/>
  <c r="C228" i="20"/>
  <c r="E228" i="20" a="1"/>
  <c r="D228" i="20" a="1"/>
  <c r="D228" i="20" l="1"/>
  <c r="E228" i="20"/>
  <c r="C229" i="20"/>
  <c r="A230" i="20"/>
  <c r="B229" i="20"/>
  <c r="D229" i="20" a="1"/>
  <c r="E229" i="20" a="1"/>
  <c r="E229" i="20" l="1"/>
  <c r="D229" i="20"/>
  <c r="B230" i="20"/>
  <c r="C230" i="20"/>
  <c r="A231" i="20"/>
  <c r="D230" i="20" a="1"/>
  <c r="E230" i="20" a="1"/>
  <c r="E230" i="20" l="1"/>
  <c r="D230" i="20"/>
  <c r="C231" i="20"/>
  <c r="B231" i="20"/>
  <c r="A232" i="20"/>
  <c r="D231" i="20" a="1"/>
  <c r="E231" i="20" a="1"/>
  <c r="E231" i="20" l="1"/>
  <c r="D231" i="20"/>
  <c r="A233" i="20"/>
  <c r="B232" i="20"/>
  <c r="C232" i="20"/>
  <c r="D232" i="20" a="1"/>
  <c r="E232" i="20" a="1"/>
  <c r="E232" i="20" l="1"/>
  <c r="D232" i="20"/>
  <c r="B233" i="20"/>
  <c r="C233" i="20"/>
  <c r="A234" i="20"/>
  <c r="E233" i="20" a="1"/>
  <c r="D233" i="20" a="1"/>
  <c r="D233" i="20" l="1"/>
  <c r="E233" i="20"/>
  <c r="B234" i="20"/>
  <c r="C234" i="20"/>
  <c r="A235" i="20"/>
  <c r="E234" i="20" a="1"/>
  <c r="D234" i="20" a="1"/>
  <c r="D234" i="20" l="1"/>
  <c r="E234" i="20"/>
  <c r="C235" i="20"/>
  <c r="A236" i="20"/>
  <c r="B235" i="20"/>
  <c r="E235" i="20" a="1"/>
  <c r="D235" i="20" a="1"/>
  <c r="D235" i="20" l="1"/>
  <c r="E235" i="20"/>
  <c r="A237" i="20"/>
  <c r="B236" i="20"/>
  <c r="C236" i="20"/>
  <c r="E236" i="20" a="1"/>
  <c r="D236" i="20" a="1"/>
  <c r="D236" i="20" l="1"/>
  <c r="E236" i="20"/>
  <c r="B237" i="20"/>
  <c r="C237" i="20"/>
  <c r="A238" i="20"/>
  <c r="D237" i="20" a="1"/>
  <c r="E237" i="20" a="1"/>
  <c r="E237" i="20" l="1"/>
  <c r="D237" i="20"/>
  <c r="B238" i="20"/>
  <c r="A239" i="20"/>
  <c r="C238" i="20"/>
  <c r="D238" i="20" a="1"/>
  <c r="E238" i="20" a="1"/>
  <c r="E238" i="20" l="1"/>
  <c r="D238" i="20"/>
  <c r="C239" i="20"/>
  <c r="A240" i="20"/>
  <c r="B239" i="20"/>
  <c r="D239" i="20" a="1"/>
  <c r="E239" i="20" a="1"/>
  <c r="E239" i="20" l="1"/>
  <c r="D239" i="20"/>
  <c r="A241" i="20"/>
  <c r="B240" i="20"/>
  <c r="C240" i="20"/>
  <c r="E240" i="20" a="1"/>
  <c r="D240" i="20" a="1"/>
  <c r="D240" i="20" l="1"/>
  <c r="E240" i="20"/>
  <c r="B241" i="20"/>
  <c r="A242" i="20"/>
  <c r="C241" i="20"/>
  <c r="D241" i="20" a="1"/>
  <c r="E241" i="20" a="1"/>
  <c r="E241" i="20" l="1"/>
  <c r="D241" i="20"/>
  <c r="B242" i="20"/>
  <c r="A243" i="20"/>
  <c r="C242" i="20"/>
  <c r="D242" i="20" a="1"/>
  <c r="E242" i="20" a="1"/>
  <c r="E242" i="20" l="1"/>
  <c r="D242" i="20"/>
  <c r="C243" i="20"/>
  <c r="B243" i="20"/>
  <c r="A244" i="20"/>
  <c r="E243" i="20" a="1"/>
  <c r="D243" i="20" a="1"/>
  <c r="D243" i="20" l="1"/>
  <c r="E243" i="20"/>
  <c r="A245" i="20"/>
  <c r="B244" i="20"/>
  <c r="C244" i="20"/>
  <c r="D244" i="20" a="1"/>
  <c r="E244" i="20" a="1"/>
  <c r="E244" i="20" l="1"/>
  <c r="D244" i="20"/>
  <c r="A246" i="20"/>
  <c r="B245" i="20"/>
  <c r="C245" i="20"/>
  <c r="E245" i="20" a="1"/>
  <c r="D245" i="20" a="1"/>
  <c r="D245" i="20" l="1"/>
  <c r="E245" i="20"/>
  <c r="B246" i="20"/>
  <c r="C246" i="20"/>
  <c r="A247" i="20"/>
  <c r="E246" i="20" a="1"/>
  <c r="D246" i="20" a="1"/>
  <c r="D246" i="20" l="1"/>
  <c r="E246" i="20"/>
  <c r="C247" i="20"/>
  <c r="B247" i="20"/>
  <c r="A248" i="20"/>
  <c r="D247" i="20" a="1"/>
  <c r="E247" i="20" a="1"/>
  <c r="E247" i="20" l="1"/>
  <c r="D247" i="20"/>
  <c r="A249" i="20"/>
  <c r="B248" i="20"/>
  <c r="C248" i="20"/>
  <c r="D248" i="20" a="1"/>
  <c r="E248" i="20" a="1"/>
  <c r="E248" i="20" l="1"/>
  <c r="D248" i="20"/>
  <c r="C249" i="20"/>
  <c r="A250" i="20"/>
  <c r="B249" i="20"/>
  <c r="E249" i="20" a="1"/>
  <c r="D249" i="20" a="1"/>
  <c r="D249" i="20" l="1"/>
  <c r="E249" i="20"/>
  <c r="B250" i="20"/>
  <c r="C250" i="20"/>
  <c r="A251" i="20"/>
  <c r="E250" i="20" a="1"/>
  <c r="D250" i="20" a="1"/>
  <c r="D250" i="20" l="1"/>
  <c r="E250" i="20"/>
  <c r="C251" i="20"/>
  <c r="B251" i="20"/>
  <c r="A252" i="20"/>
  <c r="E251" i="20" a="1"/>
  <c r="D251" i="20" a="1"/>
  <c r="D251" i="20" l="1"/>
  <c r="E251" i="20"/>
  <c r="A253" i="20"/>
  <c r="C252" i="20"/>
  <c r="B252" i="20"/>
  <c r="E252" i="20" a="1"/>
  <c r="D252" i="20" a="1"/>
  <c r="D252" i="20" l="1"/>
  <c r="E252" i="20"/>
  <c r="B253" i="20"/>
  <c r="C253" i="20"/>
  <c r="A254" i="20"/>
  <c r="D253" i="20" a="1"/>
  <c r="E253" i="20" a="1"/>
  <c r="E253" i="20" l="1"/>
  <c r="D253" i="20"/>
  <c r="B254" i="20"/>
  <c r="C254" i="20"/>
  <c r="A255" i="20"/>
  <c r="D254" i="20" a="1"/>
  <c r="E254" i="20" a="1"/>
  <c r="E254" i="20" l="1"/>
  <c r="D254" i="20"/>
  <c r="C255" i="20"/>
  <c r="B255" i="20"/>
  <c r="A256" i="20"/>
  <c r="E255" i="20" a="1"/>
  <c r="D255" i="20" a="1"/>
  <c r="D255" i="20" l="1"/>
  <c r="E255" i="20"/>
  <c r="A257" i="20"/>
  <c r="B256" i="20"/>
  <c r="C256" i="20"/>
  <c r="E256" i="20" a="1"/>
  <c r="D256" i="20" a="1"/>
  <c r="D256" i="20" l="1"/>
  <c r="E256" i="20"/>
  <c r="B257" i="20"/>
  <c r="C257" i="20"/>
  <c r="A258" i="20"/>
  <c r="D257" i="20" a="1"/>
  <c r="E257" i="20" a="1"/>
  <c r="E257" i="20" l="1"/>
  <c r="D257" i="20"/>
  <c r="C258" i="20"/>
  <c r="A259" i="20"/>
  <c r="B258" i="20"/>
  <c r="D258" i="20" a="1"/>
  <c r="E258" i="20" a="1"/>
  <c r="E258" i="20" l="1"/>
  <c r="D258" i="20"/>
  <c r="A260" i="20"/>
  <c r="C259" i="20"/>
  <c r="B259" i="20"/>
  <c r="E259" i="20" a="1"/>
  <c r="D259" i="20" a="1"/>
  <c r="D259" i="20" l="1"/>
  <c r="E259" i="20"/>
  <c r="B260" i="20"/>
  <c r="C260" i="20"/>
  <c r="A261" i="20"/>
  <c r="E260" i="20" a="1"/>
  <c r="D260" i="20" a="1"/>
  <c r="D260" i="20" l="1"/>
  <c r="E260" i="20"/>
  <c r="B261" i="20"/>
  <c r="C261" i="20"/>
  <c r="A262" i="20"/>
  <c r="E261" i="20" a="1"/>
  <c r="D261" i="20" a="1"/>
  <c r="D261" i="20" l="1"/>
  <c r="E261" i="20"/>
  <c r="C262" i="20"/>
  <c r="A263" i="20"/>
  <c r="B262" i="20"/>
  <c r="E262" i="20" a="1"/>
  <c r="D262" i="20" a="1"/>
  <c r="D262" i="20" l="1"/>
  <c r="E262" i="20"/>
  <c r="A264" i="20"/>
  <c r="B263" i="20"/>
  <c r="C263" i="20"/>
  <c r="E263" i="20" a="1"/>
  <c r="D263" i="20" a="1"/>
  <c r="D263" i="20" l="1"/>
  <c r="E263" i="20"/>
  <c r="B264" i="20"/>
  <c r="A265" i="20"/>
  <c r="C264" i="20"/>
  <c r="D264" i="20" a="1"/>
  <c r="E264" i="20" a="1"/>
  <c r="E264" i="20" l="1"/>
  <c r="D264" i="20"/>
  <c r="B265" i="20"/>
  <c r="C265" i="20"/>
  <c r="A266" i="20"/>
  <c r="E265" i="20" a="1"/>
  <c r="D265" i="20" a="1"/>
  <c r="D265" i="20" l="1"/>
  <c r="E265" i="20"/>
  <c r="C266" i="20"/>
  <c r="B266" i="20"/>
  <c r="A267" i="20"/>
  <c r="E266" i="20" a="1"/>
  <c r="D266" i="20" a="1"/>
  <c r="D266" i="20" l="1"/>
  <c r="E266" i="20"/>
  <c r="A268" i="20"/>
  <c r="C267" i="20"/>
  <c r="B267" i="20"/>
  <c r="E267" i="20" a="1"/>
  <c r="D267" i="20" a="1"/>
  <c r="D267" i="20" l="1"/>
  <c r="E267" i="20"/>
  <c r="B268" i="20"/>
  <c r="C268" i="20"/>
  <c r="A269" i="20"/>
  <c r="E268" i="20" a="1"/>
  <c r="D268" i="20" a="1"/>
  <c r="D268" i="20" l="1"/>
  <c r="E268" i="20"/>
  <c r="B269" i="20"/>
  <c r="C269" i="20"/>
  <c r="A270" i="20"/>
  <c r="E269" i="20" a="1"/>
  <c r="D269" i="20" a="1"/>
  <c r="D269" i="20" l="1"/>
  <c r="E269" i="20"/>
  <c r="C270" i="20"/>
  <c r="A271" i="20"/>
  <c r="B270" i="20"/>
  <c r="E270" i="20" a="1"/>
  <c r="D270" i="20" a="1"/>
  <c r="D270" i="20" l="1"/>
  <c r="E270" i="20"/>
  <c r="A272" i="20"/>
  <c r="B271" i="20"/>
  <c r="C271" i="20"/>
  <c r="E271" i="20" a="1"/>
  <c r="D271" i="20" a="1"/>
  <c r="D271" i="20" l="1"/>
  <c r="E271" i="20"/>
  <c r="B272" i="20"/>
  <c r="C272" i="20"/>
  <c r="A273" i="20"/>
  <c r="D272" i="20" a="1"/>
  <c r="E272" i="20" a="1"/>
  <c r="E272" i="20" l="1"/>
  <c r="D272" i="20"/>
  <c r="B273" i="20"/>
  <c r="A274" i="20"/>
  <c r="C273" i="20"/>
  <c r="D273" i="20" a="1"/>
  <c r="E273" i="20" a="1"/>
  <c r="E273" i="20" l="1"/>
  <c r="D273" i="20"/>
  <c r="C274" i="20"/>
  <c r="B274" i="20"/>
  <c r="A275" i="20"/>
  <c r="E274" i="20" a="1"/>
  <c r="D274" i="20" a="1"/>
  <c r="D274" i="20" l="1"/>
  <c r="E274" i="20"/>
  <c r="A276" i="20"/>
  <c r="C275" i="20"/>
  <c r="B275" i="20"/>
  <c r="D275" i="20" a="1"/>
  <c r="E275" i="20" a="1"/>
  <c r="E275" i="20" l="1"/>
  <c r="D275" i="20"/>
  <c r="B276" i="20"/>
  <c r="C276" i="20"/>
  <c r="A277" i="20"/>
  <c r="D276" i="20" a="1"/>
  <c r="E276" i="20" a="1"/>
  <c r="E276" i="20" l="1"/>
  <c r="D276" i="20"/>
  <c r="B277" i="20"/>
  <c r="C277" i="20"/>
  <c r="A278" i="20"/>
  <c r="D277" i="20" a="1"/>
  <c r="E277" i="20" a="1"/>
  <c r="E277" i="20" l="1"/>
  <c r="D277" i="20"/>
  <c r="B278" i="20"/>
  <c r="C278" i="20"/>
  <c r="A279" i="20"/>
  <c r="E278" i="20" a="1"/>
  <c r="D278" i="20" a="1"/>
  <c r="D278" i="20" l="1"/>
  <c r="E278" i="20"/>
  <c r="A280" i="20"/>
  <c r="B279" i="20"/>
  <c r="C279" i="20"/>
  <c r="D279" i="20" a="1"/>
  <c r="E279" i="20" a="1"/>
  <c r="E279" i="20" l="1"/>
  <c r="D279" i="20"/>
  <c r="B280" i="20"/>
  <c r="A281" i="20"/>
  <c r="C280" i="20"/>
  <c r="D280" i="20" a="1"/>
  <c r="E280" i="20" a="1"/>
  <c r="E280" i="20" l="1"/>
  <c r="D280" i="20"/>
  <c r="B281" i="20"/>
  <c r="C281" i="20"/>
  <c r="A282" i="20"/>
  <c r="D281" i="20" a="1"/>
  <c r="E281" i="20" a="1"/>
  <c r="E281" i="20" l="1"/>
  <c r="D281" i="20"/>
  <c r="C282" i="20"/>
  <c r="A283" i="20"/>
  <c r="B282" i="20"/>
  <c r="D282" i="20" a="1"/>
  <c r="E282" i="20" a="1"/>
  <c r="E282" i="20" l="1"/>
  <c r="D282" i="20"/>
  <c r="A284" i="20"/>
  <c r="C283" i="20"/>
  <c r="B283" i="20"/>
  <c r="E283" i="20" a="1"/>
  <c r="D283" i="20" a="1"/>
  <c r="D283" i="20" l="1"/>
  <c r="E283" i="20"/>
  <c r="A285" i="20"/>
  <c r="C284" i="20"/>
  <c r="B284" i="20"/>
  <c r="D284" i="20" a="1"/>
  <c r="E284" i="20" a="1"/>
  <c r="E284" i="20" l="1"/>
  <c r="D284" i="20"/>
  <c r="B285" i="20"/>
  <c r="C285" i="20"/>
  <c r="A286" i="20"/>
  <c r="D285" i="20" a="1"/>
  <c r="E285" i="20" a="1"/>
  <c r="E285" i="20" l="1"/>
  <c r="D285" i="20"/>
  <c r="C286" i="20"/>
  <c r="A287" i="20"/>
  <c r="B286" i="20"/>
  <c r="D286" i="20" a="1"/>
  <c r="E286" i="20" a="1"/>
  <c r="E286" i="20" l="1"/>
  <c r="D286" i="20"/>
  <c r="A288" i="20"/>
  <c r="B287" i="20"/>
  <c r="C287" i="20"/>
  <c r="E287" i="20" a="1"/>
  <c r="D287" i="20" a="1"/>
  <c r="D287" i="20" l="1"/>
  <c r="E287" i="20"/>
  <c r="B288" i="20"/>
  <c r="A289" i="20"/>
  <c r="C288" i="20"/>
  <c r="D288" i="20" a="1"/>
  <c r="E288" i="20" a="1"/>
  <c r="E288" i="20" l="1"/>
  <c r="D288" i="20"/>
  <c r="B289" i="20"/>
  <c r="C289" i="20"/>
  <c r="A290" i="20"/>
  <c r="D289" i="20" a="1"/>
  <c r="E289" i="20" a="1"/>
  <c r="E289" i="20" l="1"/>
  <c r="D289" i="20"/>
  <c r="C290" i="20"/>
  <c r="A291" i="20"/>
  <c r="B290" i="20"/>
  <c r="E290" i="20" a="1"/>
  <c r="D290" i="20" a="1"/>
  <c r="D290" i="20" l="1"/>
  <c r="E290" i="20"/>
  <c r="A292" i="20"/>
  <c r="C291" i="20"/>
  <c r="B291" i="20"/>
  <c r="E291" i="20" a="1"/>
  <c r="D291" i="20" a="1"/>
  <c r="D291" i="20" l="1"/>
  <c r="E291" i="20"/>
  <c r="A293" i="20"/>
  <c r="C292" i="20"/>
  <c r="B292" i="20"/>
  <c r="D292" i="20" a="1"/>
  <c r="E292" i="20" a="1"/>
  <c r="E292" i="20" l="1"/>
  <c r="D292" i="20"/>
  <c r="C293" i="20"/>
  <c r="A294" i="20"/>
  <c r="B293" i="20"/>
  <c r="D293" i="20" a="1"/>
  <c r="E293" i="20" a="1"/>
  <c r="E293" i="20" l="1"/>
  <c r="D293" i="20"/>
  <c r="A295" i="20"/>
  <c r="B294" i="20"/>
  <c r="C294" i="20"/>
  <c r="E294" i="20" a="1"/>
  <c r="D294" i="20" a="1"/>
  <c r="D294" i="20" l="1"/>
  <c r="E294" i="20"/>
  <c r="A296" i="20"/>
  <c r="C295" i="20"/>
  <c r="B295" i="20"/>
  <c r="D295" i="20" a="1"/>
  <c r="E295" i="20" a="1"/>
  <c r="E295" i="20" l="1"/>
  <c r="D295" i="20"/>
  <c r="B296" i="20"/>
  <c r="A297" i="20"/>
  <c r="C296" i="20"/>
  <c r="E296" i="20" a="1"/>
  <c r="D296" i="20" a="1"/>
  <c r="D296" i="20" l="1"/>
  <c r="E296" i="20"/>
  <c r="C297" i="20"/>
  <c r="A298" i="20"/>
  <c r="B297" i="20"/>
  <c r="D297" i="20" a="1"/>
  <c r="E297" i="20" a="1"/>
  <c r="E297" i="20" l="1"/>
  <c r="D297" i="20"/>
  <c r="C298" i="20"/>
  <c r="A299" i="20"/>
  <c r="B298" i="20"/>
  <c r="E298" i="20" a="1"/>
  <c r="D298" i="20" a="1"/>
  <c r="D298" i="20" l="1"/>
  <c r="E298" i="20"/>
  <c r="A300" i="20"/>
  <c r="C299" i="20"/>
  <c r="B299" i="20"/>
  <c r="E299" i="20" a="1"/>
  <c r="D299" i="20" a="1"/>
  <c r="D299" i="20" l="1"/>
  <c r="E299" i="20"/>
  <c r="B300" i="20"/>
  <c r="C300" i="20"/>
  <c r="A301" i="20"/>
  <c r="E300" i="20" a="1"/>
  <c r="D300" i="20" a="1"/>
  <c r="D300" i="20" l="1"/>
  <c r="E300" i="20"/>
  <c r="B301" i="20"/>
  <c r="C301" i="20"/>
  <c r="A302" i="20"/>
  <c r="D301" i="20" a="1"/>
  <c r="E301" i="20" a="1"/>
  <c r="E301" i="20" l="1"/>
  <c r="D301" i="20"/>
  <c r="C302" i="20"/>
  <c r="A303" i="20"/>
  <c r="B302" i="20"/>
  <c r="D302" i="20" a="1"/>
  <c r="E302" i="20" a="1"/>
  <c r="E302" i="20" l="1"/>
  <c r="D302" i="20"/>
  <c r="A304" i="20"/>
  <c r="C303" i="20"/>
  <c r="B303" i="20"/>
  <c r="E303" i="20" a="1"/>
  <c r="D303" i="20" a="1"/>
  <c r="D303" i="20" l="1"/>
  <c r="E303" i="20"/>
  <c r="C304" i="20"/>
  <c r="B304" i="20"/>
  <c r="A305" i="20"/>
  <c r="D304" i="20" a="1"/>
  <c r="E304" i="20" a="1"/>
  <c r="E304" i="20" l="1"/>
  <c r="D304" i="20"/>
  <c r="B305" i="20"/>
  <c r="A306" i="20"/>
  <c r="C305" i="20"/>
  <c r="D305" i="20" a="1"/>
  <c r="E305" i="20" a="1"/>
  <c r="E305" i="20" l="1"/>
  <c r="D305" i="20"/>
  <c r="A307" i="20"/>
  <c r="B306" i="20"/>
  <c r="C306" i="20"/>
  <c r="D306" i="20" a="1"/>
  <c r="E306" i="20" a="1"/>
  <c r="E306" i="20" l="1"/>
  <c r="D306" i="20"/>
  <c r="C307" i="20"/>
  <c r="B307" i="20"/>
  <c r="A308" i="20"/>
  <c r="E307" i="20" a="1"/>
  <c r="D307" i="20" a="1"/>
  <c r="D307" i="20" l="1"/>
  <c r="E307" i="20"/>
  <c r="B308" i="20"/>
  <c r="A309" i="20"/>
  <c r="C308" i="20"/>
  <c r="D308" i="20" a="1"/>
  <c r="E308" i="20" a="1"/>
  <c r="E308" i="20" l="1"/>
  <c r="D308" i="20"/>
  <c r="A310" i="20"/>
  <c r="C309" i="20"/>
  <c r="B309" i="20"/>
  <c r="D309" i="20" a="1"/>
  <c r="E309" i="20" a="1"/>
  <c r="E309" i="20" l="1"/>
  <c r="D309" i="20"/>
  <c r="C310" i="20"/>
  <c r="A311" i="20"/>
  <c r="B310" i="20"/>
  <c r="E310" i="20" a="1"/>
  <c r="D310" i="20" a="1"/>
  <c r="D310" i="20" l="1"/>
  <c r="E310" i="20"/>
  <c r="B311" i="20"/>
  <c r="C311" i="20"/>
  <c r="A312" i="20"/>
  <c r="E311" i="20" a="1"/>
  <c r="D311" i="20" a="1"/>
  <c r="D311" i="20" l="1"/>
  <c r="E311" i="20"/>
  <c r="A313" i="20"/>
  <c r="C312" i="20"/>
  <c r="B312" i="20"/>
  <c r="E312" i="20" a="1"/>
  <c r="D312" i="20" a="1"/>
  <c r="D312" i="20" l="1"/>
  <c r="E312" i="20"/>
  <c r="B313" i="20"/>
  <c r="A314" i="20"/>
  <c r="C313" i="20"/>
  <c r="D313" i="20" a="1"/>
  <c r="E313" i="20" a="1"/>
  <c r="E313" i="20" l="1"/>
  <c r="D313" i="20"/>
  <c r="C314" i="20"/>
  <c r="A315" i="20"/>
  <c r="B314" i="20"/>
  <c r="D314" i="20" a="1"/>
  <c r="E314" i="20" a="1"/>
  <c r="E314" i="20" l="1"/>
  <c r="D314" i="20"/>
  <c r="B315" i="20"/>
  <c r="C315" i="20"/>
  <c r="A316" i="20"/>
  <c r="E315" i="20" a="1"/>
  <c r="D315" i="20" a="1"/>
  <c r="D315" i="20" l="1"/>
  <c r="E315" i="20"/>
  <c r="C316" i="20"/>
  <c r="B316" i="20"/>
  <c r="A317" i="20"/>
  <c r="D316" i="20" a="1"/>
  <c r="E316" i="20" a="1"/>
  <c r="E316" i="20" l="1"/>
  <c r="D316" i="20"/>
  <c r="A318" i="20"/>
  <c r="B317" i="20"/>
  <c r="C317" i="20"/>
  <c r="E317" i="20" a="1"/>
  <c r="D317" i="20" a="1"/>
  <c r="D317" i="20" l="1"/>
  <c r="E317" i="20"/>
  <c r="B318" i="20"/>
  <c r="A319" i="20"/>
  <c r="C318" i="20"/>
  <c r="D318" i="20" a="1"/>
  <c r="E318" i="20" a="1"/>
  <c r="E318" i="20" l="1"/>
  <c r="D318" i="20"/>
  <c r="C319" i="20"/>
  <c r="A320" i="20"/>
  <c r="B319" i="20"/>
  <c r="E319" i="20" a="1"/>
  <c r="D319" i="20" a="1"/>
  <c r="D319" i="20" l="1"/>
  <c r="E319" i="20"/>
  <c r="C320" i="20"/>
  <c r="B320" i="20"/>
  <c r="A321" i="20"/>
  <c r="E320" i="20" a="1"/>
  <c r="D320" i="20" a="1"/>
  <c r="D320" i="20" l="1"/>
  <c r="E320" i="20"/>
  <c r="A322" i="20"/>
  <c r="B321" i="20"/>
  <c r="C321" i="20"/>
  <c r="E321" i="20" a="1"/>
  <c r="D321" i="20" a="1"/>
  <c r="D321" i="20" l="1"/>
  <c r="E321" i="20"/>
  <c r="B322" i="20"/>
  <c r="C322" i="20"/>
  <c r="A323" i="20"/>
  <c r="D322" i="20" a="1"/>
  <c r="E322" i="20" a="1"/>
  <c r="E322" i="20" l="1"/>
  <c r="D322" i="20"/>
  <c r="C323" i="20"/>
  <c r="A324" i="20"/>
  <c r="B323" i="20"/>
  <c r="D323" i="20" a="1"/>
  <c r="E323" i="20" a="1"/>
  <c r="E323" i="20" l="1"/>
  <c r="D323" i="20"/>
  <c r="C324" i="20"/>
  <c r="A325" i="20"/>
  <c r="B324" i="20"/>
  <c r="D324" i="20" a="1"/>
  <c r="E324" i="20" a="1"/>
  <c r="E324" i="20" l="1"/>
  <c r="D324" i="20"/>
  <c r="A326" i="20"/>
  <c r="C325" i="20"/>
  <c r="B325" i="20"/>
  <c r="E325" i="20" a="1"/>
  <c r="D325" i="20" a="1"/>
  <c r="D325" i="20" l="1"/>
  <c r="E325" i="20"/>
  <c r="C326" i="20"/>
  <c r="A327" i="20"/>
  <c r="B326" i="20"/>
  <c r="E326" i="20" a="1"/>
  <c r="D326" i="20" a="1"/>
  <c r="D326" i="20" l="1"/>
  <c r="E326" i="20"/>
  <c r="B327" i="20"/>
  <c r="C327" i="20"/>
  <c r="A328" i="20"/>
  <c r="D327" i="20" a="1"/>
  <c r="E327" i="20" a="1"/>
  <c r="E327" i="20" l="1"/>
  <c r="D327" i="20"/>
  <c r="C328" i="20"/>
  <c r="B328" i="20"/>
  <c r="A329" i="20"/>
  <c r="D328" i="20" a="1"/>
  <c r="E328" i="20" a="1"/>
  <c r="E328" i="20" l="1"/>
  <c r="D328" i="20"/>
  <c r="A330" i="20"/>
  <c r="B329" i="20"/>
  <c r="C329" i="20"/>
  <c r="E329" i="20" a="1"/>
  <c r="D329" i="20" a="1"/>
  <c r="D329" i="20" l="1"/>
  <c r="E329" i="20"/>
  <c r="C330" i="20"/>
  <c r="B330" i="20"/>
  <c r="A331" i="20"/>
  <c r="E330" i="20" a="1"/>
  <c r="D330" i="20" a="1"/>
  <c r="D330" i="20" l="1"/>
  <c r="E330" i="20"/>
  <c r="B331" i="20"/>
  <c r="A332" i="20"/>
  <c r="C331" i="20"/>
  <c r="D331" i="20" a="1"/>
  <c r="E331" i="20" a="1"/>
  <c r="E331" i="20" l="1"/>
  <c r="D331" i="20"/>
  <c r="C332" i="20"/>
  <c r="A333" i="20"/>
  <c r="B332" i="20"/>
  <c r="E332" i="20" a="1"/>
  <c r="D332" i="20" a="1"/>
  <c r="D332" i="20" l="1"/>
  <c r="E332" i="20"/>
  <c r="A334" i="20"/>
  <c r="B333" i="20"/>
  <c r="C333" i="20"/>
  <c r="E333" i="20" a="1"/>
  <c r="D333" i="20" a="1"/>
  <c r="D333" i="20" l="1"/>
  <c r="E333" i="20"/>
  <c r="B334" i="20"/>
  <c r="C334" i="20"/>
  <c r="A335" i="20"/>
  <c r="E334" i="20" a="1"/>
  <c r="D334" i="20" a="1"/>
  <c r="D334" i="20" l="1"/>
  <c r="E334" i="20"/>
  <c r="B335" i="20"/>
  <c r="C335" i="20"/>
  <c r="A336" i="20"/>
  <c r="D335" i="20" a="1"/>
  <c r="E335" i="20" a="1"/>
  <c r="E335" i="20" l="1"/>
  <c r="D335" i="20"/>
  <c r="C336" i="20"/>
  <c r="B336" i="20"/>
  <c r="A337" i="20"/>
  <c r="D336" i="20" a="1"/>
  <c r="E336" i="20" a="1"/>
  <c r="E336" i="20" l="1"/>
  <c r="D336" i="20"/>
  <c r="A338" i="20"/>
  <c r="B337" i="20"/>
  <c r="C337" i="20"/>
  <c r="E337" i="20" a="1"/>
  <c r="D337" i="20" a="1"/>
  <c r="D337" i="20" l="1"/>
  <c r="E337" i="20"/>
  <c r="B338" i="20"/>
  <c r="A339" i="20"/>
  <c r="C338" i="20"/>
  <c r="E338" i="20" a="1"/>
  <c r="D338" i="20" a="1"/>
  <c r="D338" i="20" l="1"/>
  <c r="E338" i="20"/>
  <c r="B339" i="20"/>
  <c r="C339" i="20"/>
  <c r="A340" i="20"/>
  <c r="D339" i="20" a="1"/>
  <c r="E339" i="20" a="1"/>
  <c r="E339" i="20" l="1"/>
  <c r="D339" i="20"/>
  <c r="C340" i="20"/>
  <c r="A341" i="20"/>
  <c r="B340" i="20"/>
  <c r="E340" i="20" a="1"/>
  <c r="D340" i="20" a="1"/>
  <c r="D340" i="20" l="1"/>
  <c r="E340" i="20"/>
  <c r="A342" i="20"/>
  <c r="B341" i="20"/>
  <c r="C341" i="20"/>
  <c r="D341" i="20" a="1"/>
  <c r="E341" i="20" a="1"/>
  <c r="E341" i="20" l="1"/>
  <c r="D341" i="20"/>
  <c r="A343" i="20"/>
  <c r="B342" i="20"/>
  <c r="C342" i="20"/>
  <c r="D342" i="20" a="1"/>
  <c r="E342" i="20" a="1"/>
  <c r="E342" i="20" l="1"/>
  <c r="D342" i="20"/>
  <c r="B343" i="20"/>
  <c r="C343" i="20"/>
  <c r="A344" i="20"/>
  <c r="D343" i="20" a="1"/>
  <c r="E343" i="20" a="1"/>
  <c r="E343" i="20" l="1"/>
  <c r="D343" i="20"/>
  <c r="C344" i="20"/>
  <c r="A345" i="20"/>
  <c r="B344" i="20"/>
  <c r="E344" i="20" a="1"/>
  <c r="D344" i="20" a="1"/>
  <c r="D344" i="20" l="1"/>
  <c r="E344" i="20"/>
  <c r="A346" i="20"/>
  <c r="C345" i="20"/>
  <c r="B345" i="20"/>
  <c r="E345" i="20" a="1"/>
  <c r="D345" i="20" a="1"/>
  <c r="D345" i="20" l="1"/>
  <c r="E345" i="20"/>
  <c r="C346" i="20"/>
  <c r="A347" i="20"/>
  <c r="B346" i="20"/>
  <c r="D346" i="20" a="1"/>
  <c r="E346" i="20" a="1"/>
  <c r="E346" i="20" l="1"/>
  <c r="D346" i="20"/>
  <c r="B347" i="20"/>
  <c r="C347" i="20"/>
  <c r="A348" i="20"/>
  <c r="D347" i="20" a="1"/>
  <c r="E347" i="20" a="1"/>
  <c r="E347" i="20" l="1"/>
  <c r="D347" i="20"/>
  <c r="C348" i="20"/>
  <c r="A349" i="20"/>
  <c r="B348" i="20"/>
  <c r="D348" i="20" a="1"/>
  <c r="E348" i="20" a="1"/>
  <c r="E348" i="20" l="1"/>
  <c r="D348" i="20"/>
  <c r="A350" i="20"/>
  <c r="B349" i="20"/>
  <c r="C349" i="20"/>
  <c r="E349" i="20" a="1"/>
  <c r="D349" i="20" a="1"/>
  <c r="D349" i="20" l="1"/>
  <c r="E349" i="20"/>
  <c r="B350" i="20"/>
  <c r="A351" i="20"/>
  <c r="C350" i="20"/>
  <c r="D350" i="20" a="1"/>
  <c r="E350" i="20" a="1"/>
  <c r="E350" i="20" l="1"/>
  <c r="D350" i="20"/>
  <c r="A352" i="20"/>
  <c r="B351" i="20"/>
  <c r="C351" i="20"/>
  <c r="D351" i="20" a="1"/>
  <c r="E351" i="20" a="1"/>
  <c r="E351" i="20" l="1"/>
  <c r="D351" i="20"/>
  <c r="A353" i="20"/>
  <c r="C352" i="20"/>
  <c r="B352" i="20"/>
  <c r="D352" i="20" a="1"/>
  <c r="E352" i="20" a="1"/>
  <c r="E352" i="20" l="1"/>
  <c r="D352" i="20"/>
  <c r="B353" i="20"/>
  <c r="A354" i="20"/>
  <c r="C353" i="20"/>
  <c r="D353" i="20" a="1"/>
  <c r="E353" i="20" a="1"/>
  <c r="E353" i="20" l="1"/>
  <c r="D353" i="20"/>
  <c r="C354" i="20"/>
  <c r="A355" i="20"/>
  <c r="B354" i="20"/>
  <c r="D354" i="20" a="1"/>
  <c r="E354" i="20" a="1"/>
  <c r="E354" i="20" l="1"/>
  <c r="D354" i="20"/>
  <c r="C355" i="20"/>
  <c r="A356" i="20"/>
  <c r="B355" i="20"/>
  <c r="E355" i="20" a="1"/>
  <c r="D355" i="20" a="1"/>
  <c r="D355" i="20" l="1"/>
  <c r="E355" i="20"/>
  <c r="B356" i="20"/>
  <c r="A357" i="20"/>
  <c r="C356" i="20"/>
  <c r="E356" i="20" a="1"/>
  <c r="D356" i="20" a="1"/>
  <c r="D356" i="20" l="1"/>
  <c r="E356" i="20"/>
  <c r="C357" i="20"/>
  <c r="A358" i="20"/>
  <c r="B357" i="20"/>
  <c r="E357" i="20" a="1"/>
  <c r="D357" i="20" a="1"/>
  <c r="D357" i="20" l="1"/>
  <c r="E357" i="20"/>
  <c r="C358" i="20"/>
  <c r="B358" i="20"/>
  <c r="A359" i="20"/>
  <c r="E358" i="20" a="1"/>
  <c r="D358" i="20" a="1"/>
  <c r="D358" i="20" l="1"/>
  <c r="E358" i="20"/>
  <c r="C359" i="20"/>
  <c r="A360" i="20"/>
  <c r="B359" i="20"/>
  <c r="D359" i="20" a="1"/>
  <c r="E359" i="20" a="1"/>
  <c r="E359" i="20" l="1"/>
  <c r="D359" i="20"/>
  <c r="A361" i="20"/>
  <c r="B360" i="20"/>
  <c r="C360" i="20"/>
  <c r="D360" i="20" a="1"/>
  <c r="E360" i="20" a="1"/>
  <c r="E360" i="20" l="1"/>
  <c r="D360" i="20"/>
  <c r="C361" i="20"/>
  <c r="A362" i="20"/>
  <c r="B361" i="20"/>
  <c r="E361" i="20" a="1"/>
  <c r="D361" i="20" a="1"/>
  <c r="D361" i="20" l="1"/>
  <c r="E361" i="20"/>
  <c r="C362" i="20"/>
  <c r="B362" i="20"/>
  <c r="A363" i="20"/>
  <c r="D362" i="20" a="1"/>
  <c r="E362" i="20" a="1"/>
  <c r="E362" i="20" l="1"/>
  <c r="D362" i="20"/>
  <c r="A364" i="20"/>
  <c r="B363" i="20"/>
  <c r="C363" i="20"/>
  <c r="D363" i="20" a="1"/>
  <c r="E363" i="20" a="1"/>
  <c r="E363" i="20" l="1"/>
  <c r="D363" i="20"/>
  <c r="B364" i="20"/>
  <c r="C364" i="20"/>
  <c r="A365" i="20"/>
  <c r="D364" i="20" a="1"/>
  <c r="E364" i="20" a="1"/>
  <c r="E364" i="20" l="1"/>
  <c r="D364" i="20"/>
  <c r="A366" i="20"/>
  <c r="B365" i="20"/>
  <c r="C365" i="20"/>
  <c r="E365" i="20" a="1"/>
  <c r="D365" i="20" a="1"/>
  <c r="D365" i="20" l="1"/>
  <c r="E365" i="20"/>
  <c r="B366" i="20"/>
  <c r="C366" i="20"/>
  <c r="A367" i="20"/>
  <c r="D366" i="20" a="1"/>
  <c r="E366" i="20" a="1"/>
  <c r="E366" i="20" l="1"/>
  <c r="D366" i="20"/>
  <c r="C367" i="20"/>
  <c r="A368" i="20"/>
  <c r="B367" i="20"/>
  <c r="D367" i="20" a="1"/>
  <c r="E367" i="20" a="1"/>
  <c r="E367" i="20" l="1"/>
  <c r="D367" i="20"/>
  <c r="B368" i="20"/>
  <c r="C368" i="20"/>
  <c r="A369" i="20"/>
  <c r="E368" i="20" a="1"/>
  <c r="D368" i="20" a="1"/>
  <c r="D368" i="20" l="1"/>
  <c r="E368" i="20"/>
  <c r="B369" i="20"/>
  <c r="A370" i="20"/>
  <c r="C369" i="20"/>
  <c r="E369" i="20" a="1"/>
  <c r="D369" i="20" a="1"/>
  <c r="D369" i="20" l="1"/>
  <c r="E369" i="20"/>
  <c r="C370" i="20"/>
  <c r="B370" i="20"/>
  <c r="A371" i="20"/>
  <c r="E370" i="20" a="1"/>
  <c r="D370" i="20" a="1"/>
  <c r="D370" i="20" l="1"/>
  <c r="E370" i="20"/>
  <c r="C371" i="20"/>
  <c r="B371" i="20"/>
  <c r="A372" i="20"/>
  <c r="D371" i="20" a="1"/>
  <c r="E371" i="20" a="1"/>
  <c r="E371" i="20" l="1"/>
  <c r="D371" i="20"/>
  <c r="B372" i="20"/>
  <c r="C372" i="20"/>
  <c r="A373" i="20"/>
  <c r="E372" i="20" a="1"/>
  <c r="D372" i="20" a="1"/>
  <c r="D372" i="20" l="1"/>
  <c r="E372" i="20"/>
  <c r="C373" i="20"/>
  <c r="B373" i="20"/>
  <c r="A374" i="20"/>
  <c r="D373" i="20" a="1"/>
  <c r="E373" i="20" a="1"/>
  <c r="E373" i="20" l="1"/>
  <c r="D373" i="20"/>
  <c r="C374" i="20"/>
  <c r="B374" i="20"/>
  <c r="A375" i="20"/>
  <c r="E374" i="20" a="1"/>
  <c r="D374" i="20" a="1"/>
  <c r="D374" i="20" l="1"/>
  <c r="E374" i="20"/>
  <c r="C375" i="20"/>
  <c r="A376" i="20"/>
  <c r="B375" i="20"/>
  <c r="D375" i="20" a="1"/>
  <c r="E375" i="20" a="1"/>
  <c r="E375" i="20" l="1"/>
  <c r="D375" i="20"/>
  <c r="A377" i="20"/>
  <c r="C376" i="20"/>
  <c r="B376" i="20"/>
  <c r="E376" i="20" a="1"/>
  <c r="D376" i="20" a="1"/>
  <c r="D376" i="20" l="1"/>
  <c r="E376" i="20"/>
  <c r="C377" i="20"/>
  <c r="B377" i="20"/>
  <c r="A378" i="20"/>
  <c r="D377" i="20" a="1"/>
  <c r="E377" i="20" a="1"/>
  <c r="E377" i="20" l="1"/>
  <c r="D377" i="20"/>
  <c r="A379" i="20"/>
  <c r="C378" i="20"/>
  <c r="B378" i="20"/>
  <c r="D378" i="20" a="1"/>
  <c r="E378" i="20" a="1"/>
  <c r="E378" i="20" l="1"/>
  <c r="D378" i="20"/>
  <c r="B379" i="20"/>
  <c r="A380" i="20"/>
  <c r="C379" i="20"/>
  <c r="E379" i="20" a="1"/>
  <c r="D379" i="20" a="1"/>
  <c r="D379" i="20" l="1"/>
  <c r="E379" i="20"/>
  <c r="B380" i="20"/>
  <c r="C380" i="20"/>
  <c r="A381" i="20"/>
  <c r="E380" i="20" a="1"/>
  <c r="D380" i="20" a="1"/>
  <c r="D380" i="20" l="1"/>
  <c r="E380" i="20"/>
  <c r="A382" i="20"/>
  <c r="C381" i="20"/>
  <c r="B381" i="20"/>
  <c r="E381" i="20" a="1"/>
  <c r="D381" i="20" a="1"/>
  <c r="D381" i="20" l="1"/>
  <c r="E381" i="20"/>
  <c r="B382" i="20"/>
  <c r="C382" i="20"/>
  <c r="A383" i="20"/>
  <c r="D382" i="20" a="1"/>
  <c r="E382" i="20" a="1"/>
  <c r="E382" i="20" l="1"/>
  <c r="D382" i="20"/>
  <c r="B383" i="20"/>
  <c r="A384" i="20"/>
  <c r="C383" i="20"/>
  <c r="E383" i="20" a="1"/>
  <c r="D383" i="20" a="1"/>
  <c r="D383" i="20" l="1"/>
  <c r="E383" i="20"/>
  <c r="A385" i="20"/>
  <c r="C384" i="20"/>
  <c r="B384" i="20"/>
  <c r="E384" i="20" a="1"/>
  <c r="D384" i="20" a="1"/>
  <c r="D384" i="20" l="1"/>
  <c r="E384" i="20"/>
  <c r="C385" i="20"/>
  <c r="B385" i="20"/>
  <c r="A386" i="20"/>
  <c r="E385" i="20" a="1"/>
  <c r="D385" i="20" a="1"/>
  <c r="D385" i="20" l="1"/>
  <c r="E385" i="20"/>
  <c r="B386" i="20"/>
  <c r="C386" i="20"/>
  <c r="A387" i="20"/>
  <c r="D386" i="20" a="1"/>
  <c r="E386" i="20" a="1"/>
  <c r="E386" i="20" l="1"/>
  <c r="D386" i="20"/>
  <c r="C387" i="20"/>
  <c r="A388" i="20"/>
  <c r="B387" i="20"/>
  <c r="E387" i="20" a="1"/>
  <c r="D387" i="20" a="1"/>
  <c r="D387" i="20" l="1"/>
  <c r="E387" i="20"/>
  <c r="C388" i="20"/>
  <c r="B388" i="20"/>
  <c r="A389" i="20"/>
  <c r="E388" i="20" a="1"/>
  <c r="D388" i="20" a="1"/>
  <c r="D388" i="20" l="1"/>
  <c r="E388" i="20"/>
  <c r="C389" i="20"/>
  <c r="B389" i="20"/>
  <c r="A390" i="20"/>
  <c r="D389" i="20" a="1"/>
  <c r="E389" i="20" a="1"/>
  <c r="E389" i="20" l="1"/>
  <c r="D389" i="20"/>
  <c r="A391" i="20"/>
  <c r="C390" i="20"/>
  <c r="B390" i="20"/>
  <c r="D390" i="20" a="1"/>
  <c r="E390" i="20" a="1"/>
  <c r="E390" i="20" l="1"/>
  <c r="D390" i="20"/>
  <c r="C391" i="20"/>
  <c r="A392" i="20"/>
  <c r="B391" i="20"/>
  <c r="D391" i="20" a="1"/>
  <c r="E391" i="20" a="1"/>
  <c r="E391" i="20" l="1"/>
  <c r="D391" i="20"/>
  <c r="C392" i="20"/>
  <c r="A393" i="20"/>
  <c r="B392" i="20"/>
  <c r="E392" i="20" a="1"/>
  <c r="D392" i="20" a="1"/>
  <c r="D392" i="20" l="1"/>
  <c r="E392" i="20"/>
  <c r="A394" i="20"/>
  <c r="B393" i="20"/>
  <c r="C393" i="20"/>
  <c r="D393" i="20" a="1"/>
  <c r="E393" i="20" a="1"/>
  <c r="E393" i="20" l="1"/>
  <c r="D393" i="20"/>
  <c r="A395" i="20"/>
  <c r="C394" i="20"/>
  <c r="B394" i="20"/>
  <c r="D394" i="20" a="1"/>
  <c r="E394" i="20" a="1"/>
  <c r="E394" i="20" l="1"/>
  <c r="D394" i="20"/>
  <c r="C395" i="20"/>
  <c r="A396" i="20"/>
  <c r="B395" i="20"/>
  <c r="E395" i="20" a="1"/>
  <c r="D395" i="20" a="1"/>
  <c r="D395" i="20" l="1"/>
  <c r="E395" i="20"/>
  <c r="B396" i="20"/>
  <c r="A397" i="20"/>
  <c r="C396" i="20"/>
  <c r="E396" i="20" a="1"/>
  <c r="D396" i="20" a="1"/>
  <c r="D396" i="20" l="1"/>
  <c r="E396" i="20"/>
  <c r="A398" i="20"/>
  <c r="B397" i="20"/>
  <c r="C397" i="20"/>
  <c r="D397" i="20" a="1"/>
  <c r="E397" i="20" a="1"/>
  <c r="E397" i="20" l="1"/>
  <c r="D397" i="20"/>
  <c r="A399" i="20"/>
  <c r="C398" i="20"/>
  <c r="B398" i="20"/>
  <c r="E398" i="20" a="1"/>
  <c r="D398" i="20" a="1"/>
  <c r="D398" i="20" l="1"/>
  <c r="E398" i="20"/>
  <c r="B399" i="20"/>
  <c r="A400" i="20"/>
  <c r="C399" i="20"/>
  <c r="E399" i="20" a="1"/>
  <c r="D399" i="20" a="1"/>
  <c r="D399" i="20" l="1"/>
  <c r="E399" i="20"/>
  <c r="A401" i="20"/>
  <c r="B400" i="20"/>
  <c r="C400" i="20"/>
  <c r="E400" i="20" a="1"/>
  <c r="D400" i="20" a="1"/>
  <c r="D400" i="20" l="1"/>
  <c r="E400" i="20"/>
  <c r="A402" i="20"/>
  <c r="B401" i="20"/>
  <c r="C401" i="20"/>
  <c r="E401" i="20" a="1"/>
  <c r="D401" i="20" a="1"/>
  <c r="D401" i="20" l="1"/>
  <c r="E401" i="20"/>
  <c r="A403" i="20"/>
  <c r="C402" i="20"/>
  <c r="B402" i="20"/>
  <c r="D402" i="20" a="1"/>
  <c r="E402" i="20" a="1"/>
  <c r="E402" i="20" l="1"/>
  <c r="D402" i="20"/>
  <c r="C403" i="20"/>
  <c r="A404" i="20"/>
  <c r="B403" i="20"/>
  <c r="E403" i="20" a="1"/>
  <c r="D403" i="20" a="1"/>
  <c r="D403" i="20" l="1"/>
  <c r="E403" i="20"/>
  <c r="A405" i="20"/>
  <c r="B404" i="20"/>
  <c r="C404" i="20"/>
  <c r="E404" i="20" a="1"/>
  <c r="D404" i="20" a="1"/>
  <c r="D404" i="20" l="1"/>
  <c r="E404" i="20"/>
  <c r="A406" i="20"/>
  <c r="B405" i="20"/>
  <c r="C405" i="20"/>
  <c r="E405" i="20" a="1"/>
  <c r="D405" i="20" a="1"/>
  <c r="D405" i="20" l="1"/>
  <c r="E405" i="20"/>
  <c r="A407" i="20"/>
  <c r="C406" i="20"/>
  <c r="B406" i="20"/>
  <c r="E406" i="20" a="1"/>
  <c r="D406" i="20" a="1"/>
  <c r="D406" i="20" l="1"/>
  <c r="E406" i="20"/>
  <c r="C407" i="20"/>
  <c r="A408" i="20"/>
  <c r="B407" i="20"/>
  <c r="D407" i="20" a="1"/>
  <c r="E407" i="20" a="1"/>
  <c r="E407" i="20" l="1"/>
  <c r="D407" i="20"/>
  <c r="B408" i="20"/>
  <c r="C408" i="20"/>
  <c r="A409" i="20"/>
  <c r="D408" i="20" a="1"/>
  <c r="E408" i="20" a="1"/>
  <c r="E408" i="20" l="1"/>
  <c r="D408" i="20"/>
  <c r="A410" i="20"/>
  <c r="B409" i="20"/>
  <c r="C409" i="20"/>
  <c r="E409" i="20" a="1"/>
  <c r="D409" i="20" a="1"/>
  <c r="D409" i="20" l="1"/>
  <c r="E409" i="20"/>
  <c r="A411" i="20"/>
  <c r="C410" i="20"/>
  <c r="B410" i="20"/>
  <c r="D410" i="20" a="1"/>
  <c r="E410" i="20" a="1"/>
  <c r="E410" i="20" l="1"/>
  <c r="D410" i="20"/>
  <c r="B411" i="20"/>
  <c r="C411" i="20"/>
  <c r="A412" i="20"/>
  <c r="E411" i="20" a="1"/>
  <c r="D411" i="20" a="1"/>
  <c r="D411" i="20" l="1"/>
  <c r="E411" i="20"/>
  <c r="B412" i="20"/>
  <c r="C412" i="20"/>
  <c r="A413" i="20"/>
  <c r="D412" i="20" a="1"/>
  <c r="E412" i="20" a="1"/>
  <c r="E412" i="20" l="1"/>
  <c r="D412" i="20"/>
  <c r="A414" i="20"/>
  <c r="C413" i="20"/>
  <c r="B413" i="20"/>
  <c r="D413" i="20" a="1"/>
  <c r="E413" i="20" a="1"/>
  <c r="E413" i="20" l="1"/>
  <c r="D413" i="20"/>
  <c r="B414" i="20"/>
  <c r="C414" i="20"/>
  <c r="A415" i="20"/>
  <c r="D414" i="20" a="1"/>
  <c r="E414" i="20" a="1"/>
  <c r="E414" i="20" l="1"/>
  <c r="D414" i="20"/>
  <c r="B415" i="20"/>
  <c r="A416" i="20"/>
  <c r="C415" i="20"/>
  <c r="E415" i="20" a="1"/>
  <c r="D415" i="20" a="1"/>
  <c r="D415" i="20" l="1"/>
  <c r="E415" i="20"/>
  <c r="A417" i="20"/>
  <c r="B416" i="20"/>
  <c r="C416" i="20"/>
  <c r="D416" i="20" a="1"/>
  <c r="E416" i="20" a="1"/>
  <c r="E416" i="20" l="1"/>
  <c r="D416" i="20"/>
  <c r="A418" i="20"/>
  <c r="C417" i="20"/>
  <c r="B417" i="20"/>
  <c r="E417" i="20" a="1"/>
  <c r="D417" i="20" a="1"/>
  <c r="D417" i="20" l="1"/>
  <c r="E417" i="20"/>
  <c r="A419" i="20"/>
  <c r="C418" i="20"/>
  <c r="B418" i="20"/>
  <c r="E418" i="20" a="1"/>
  <c r="D418" i="20" a="1"/>
  <c r="D418" i="20" l="1"/>
  <c r="E418" i="20"/>
  <c r="B419" i="20"/>
  <c r="C419" i="20"/>
  <c r="A420" i="20"/>
  <c r="E419" i="20" a="1"/>
  <c r="D419" i="20" a="1"/>
  <c r="D419" i="20" l="1"/>
  <c r="E419" i="20"/>
  <c r="A421" i="20"/>
  <c r="C420" i="20"/>
  <c r="B420" i="20"/>
  <c r="E420" i="20" a="1"/>
  <c r="D420" i="20" a="1"/>
  <c r="D420" i="20" l="1"/>
  <c r="E420" i="20"/>
  <c r="A422" i="20"/>
  <c r="B421" i="20"/>
  <c r="C421" i="20"/>
  <c r="D421" i="20" a="1"/>
  <c r="E421" i="20" a="1"/>
  <c r="E421" i="20" l="1"/>
  <c r="D421" i="20"/>
  <c r="B422" i="20"/>
  <c r="A423" i="20"/>
  <c r="C422" i="20"/>
  <c r="E422" i="20" a="1"/>
  <c r="D422" i="20" a="1"/>
  <c r="D422" i="20" l="1"/>
  <c r="E422" i="20"/>
  <c r="B423" i="20"/>
  <c r="C423" i="20"/>
  <c r="A424" i="20"/>
  <c r="D423" i="20" a="1"/>
  <c r="E423" i="20" a="1"/>
  <c r="E423" i="20" l="1"/>
  <c r="D423" i="20"/>
  <c r="B424" i="20"/>
  <c r="C424" i="20"/>
  <c r="A425" i="20"/>
  <c r="E424" i="20" a="1"/>
  <c r="D424" i="20" a="1"/>
  <c r="D424" i="20" l="1"/>
  <c r="E424" i="20"/>
  <c r="C425" i="20"/>
  <c r="A426" i="20"/>
  <c r="B425" i="20"/>
  <c r="D425" i="20" a="1"/>
  <c r="E425" i="20" a="1"/>
  <c r="E425" i="20" l="1"/>
  <c r="D425" i="20"/>
  <c r="B426" i="20"/>
  <c r="A427" i="20"/>
  <c r="C426" i="20"/>
  <c r="E426" i="20" a="1"/>
  <c r="D426" i="20" a="1"/>
  <c r="D426" i="20" l="1"/>
  <c r="E426" i="20"/>
  <c r="B427" i="20"/>
  <c r="A428" i="20"/>
  <c r="C427" i="20"/>
  <c r="D427" i="20" a="1"/>
  <c r="E427" i="20" a="1"/>
  <c r="E427" i="20" l="1"/>
  <c r="D427" i="20"/>
  <c r="A429" i="20"/>
  <c r="B428" i="20"/>
  <c r="C428" i="20"/>
  <c r="E428" i="20" a="1"/>
  <c r="D428" i="20" a="1"/>
  <c r="D428" i="20" l="1"/>
  <c r="E428" i="20"/>
  <c r="C429" i="20"/>
  <c r="A430" i="20"/>
  <c r="B429" i="20"/>
  <c r="D429" i="20" a="1"/>
  <c r="E429" i="20" a="1"/>
  <c r="E429" i="20" l="1"/>
  <c r="D429" i="20"/>
  <c r="B430" i="20"/>
  <c r="C430" i="20"/>
  <c r="A431" i="20"/>
  <c r="E430" i="20" a="1"/>
  <c r="D430" i="20" a="1"/>
  <c r="D430" i="20" l="1"/>
  <c r="E430" i="20"/>
  <c r="C431" i="20"/>
  <c r="B431" i="20"/>
  <c r="A432" i="20"/>
  <c r="E431" i="20" a="1"/>
  <c r="D431" i="20" a="1"/>
  <c r="D431" i="20" l="1"/>
  <c r="E431" i="20"/>
  <c r="C432" i="20"/>
  <c r="B432" i="20"/>
  <c r="A433" i="20"/>
  <c r="D432" i="20" a="1"/>
  <c r="E432" i="20" a="1"/>
  <c r="E432" i="20" l="1"/>
  <c r="D432" i="20"/>
  <c r="C433" i="20"/>
  <c r="A434" i="20"/>
  <c r="B433" i="20"/>
  <c r="E433" i="20" a="1"/>
  <c r="D433" i="20" a="1"/>
  <c r="D433" i="20" l="1"/>
  <c r="E433" i="20"/>
  <c r="B434" i="20"/>
  <c r="C434" i="20"/>
  <c r="A435" i="20"/>
  <c r="E434" i="20" a="1"/>
  <c r="D434" i="20" a="1"/>
  <c r="D434" i="20" l="1"/>
  <c r="E434" i="20"/>
  <c r="B435" i="20"/>
  <c r="C435" i="20"/>
  <c r="A436" i="20"/>
  <c r="E435" i="20" a="1"/>
  <c r="D435" i="20" a="1"/>
  <c r="D435" i="20" l="1"/>
  <c r="E435" i="20"/>
  <c r="C436" i="20"/>
  <c r="B436" i="20"/>
  <c r="A437" i="20"/>
  <c r="E436" i="20" a="1"/>
  <c r="D436" i="20" a="1"/>
  <c r="D436" i="20" l="1"/>
  <c r="E436" i="20"/>
  <c r="C437" i="20"/>
  <c r="B437" i="20"/>
  <c r="A438" i="20"/>
  <c r="D437" i="20" a="1"/>
  <c r="E437" i="20" a="1"/>
  <c r="E437" i="20" l="1"/>
  <c r="D437" i="20"/>
  <c r="B438" i="20"/>
  <c r="A439" i="20"/>
  <c r="C438" i="20"/>
  <c r="E438" i="20" a="1"/>
  <c r="D438" i="20" a="1"/>
  <c r="D438" i="20" l="1"/>
  <c r="E438" i="20"/>
  <c r="B439" i="20"/>
  <c r="C439" i="20"/>
  <c r="A440" i="20"/>
  <c r="D439" i="20" a="1"/>
  <c r="E439" i="20" a="1"/>
  <c r="E439" i="20" l="1"/>
  <c r="D439" i="20"/>
  <c r="A441" i="20"/>
  <c r="B440" i="20"/>
  <c r="C440" i="20"/>
  <c r="E440" i="20" a="1"/>
  <c r="D440" i="20" a="1"/>
  <c r="D440" i="20" l="1"/>
  <c r="E440" i="20"/>
  <c r="C441" i="20"/>
  <c r="A442" i="20"/>
  <c r="B441" i="20"/>
  <c r="D441" i="20" a="1"/>
  <c r="E441" i="20" a="1"/>
  <c r="E441" i="20" l="1"/>
  <c r="D441" i="20"/>
  <c r="A443" i="20"/>
  <c r="C442" i="20"/>
  <c r="B442" i="20"/>
  <c r="D442" i="20" a="1"/>
  <c r="E442" i="20" a="1"/>
  <c r="E442" i="20" l="1"/>
  <c r="D442" i="20"/>
  <c r="B443" i="20"/>
  <c r="C443" i="20"/>
  <c r="A444" i="20"/>
  <c r="D443" i="20" a="1"/>
  <c r="E443" i="20" a="1"/>
  <c r="E443" i="20" l="1"/>
  <c r="D443" i="20"/>
  <c r="A445" i="20"/>
  <c r="B444" i="20"/>
  <c r="C444" i="20"/>
  <c r="D444" i="20" a="1"/>
  <c r="E444" i="20" a="1"/>
  <c r="E444" i="20" l="1"/>
  <c r="D444" i="20"/>
  <c r="A446" i="20"/>
  <c r="B445" i="20"/>
  <c r="C445" i="20"/>
  <c r="D445" i="20" a="1"/>
  <c r="E445" i="20" a="1"/>
  <c r="E445" i="20" l="1"/>
  <c r="D445" i="20"/>
  <c r="A447" i="20"/>
  <c r="C446" i="20"/>
  <c r="B446" i="20"/>
  <c r="D446" i="20" a="1"/>
  <c r="E446" i="20" a="1"/>
  <c r="E446" i="20" l="1"/>
  <c r="D446" i="20"/>
  <c r="C447" i="20"/>
  <c r="B447" i="20"/>
  <c r="A448" i="20"/>
  <c r="D447" i="20" a="1"/>
  <c r="E447" i="20" a="1"/>
  <c r="E447" i="20" l="1"/>
  <c r="D447" i="20"/>
  <c r="A449" i="20"/>
  <c r="B448" i="20"/>
  <c r="C448" i="20"/>
  <c r="D448" i="20" a="1"/>
  <c r="E448" i="20" a="1"/>
  <c r="E448" i="20" l="1"/>
  <c r="D448" i="20"/>
  <c r="A450" i="20"/>
  <c r="B449" i="20"/>
  <c r="C449" i="20"/>
  <c r="D449" i="20" a="1"/>
  <c r="E449" i="20" a="1"/>
  <c r="E449" i="20" l="1"/>
  <c r="D449" i="20"/>
  <c r="A451" i="20"/>
  <c r="B450" i="20"/>
  <c r="C450" i="20"/>
  <c r="D450" i="20" a="1"/>
  <c r="E450" i="20" a="1"/>
  <c r="E450" i="20" l="1"/>
  <c r="D450" i="20"/>
  <c r="B451" i="20"/>
  <c r="C451" i="20"/>
  <c r="A452" i="20"/>
  <c r="E451" i="20" a="1"/>
  <c r="D451" i="20" a="1"/>
  <c r="D451" i="20" l="1"/>
  <c r="E451" i="20"/>
  <c r="A453" i="20"/>
  <c r="C452" i="20"/>
  <c r="B452" i="20"/>
  <c r="D452" i="20" a="1"/>
  <c r="E452" i="20" a="1"/>
  <c r="E452" i="20" l="1"/>
  <c r="D452" i="20"/>
  <c r="A454" i="20"/>
  <c r="C453" i="20"/>
  <c r="B453" i="20"/>
  <c r="E453" i="20" a="1"/>
  <c r="D453" i="20" a="1"/>
  <c r="D453" i="20" l="1"/>
  <c r="E453" i="20"/>
  <c r="B454" i="20"/>
  <c r="A455" i="20"/>
  <c r="C454" i="20"/>
  <c r="E454" i="20" a="1"/>
  <c r="D454" i="20" a="1"/>
  <c r="D454" i="20" l="1"/>
  <c r="E454" i="20"/>
  <c r="B455" i="20"/>
  <c r="C455" i="20"/>
  <c r="A456" i="20"/>
  <c r="E455" i="20" a="1"/>
  <c r="D455" i="20" a="1"/>
  <c r="D455" i="20" l="1"/>
  <c r="E455" i="20"/>
  <c r="A457" i="20"/>
  <c r="C456" i="20"/>
  <c r="B456" i="20"/>
  <c r="E456" i="20" a="1"/>
  <c r="D456" i="20" a="1"/>
  <c r="D456" i="20" l="1"/>
  <c r="E456" i="20"/>
  <c r="C457" i="20"/>
  <c r="A458" i="20"/>
  <c r="B457" i="20"/>
  <c r="D457" i="20" a="1"/>
  <c r="E457" i="20" a="1"/>
  <c r="E457" i="20" l="1"/>
  <c r="D457" i="20"/>
  <c r="A459" i="20"/>
  <c r="B458" i="20"/>
  <c r="C458" i="20"/>
  <c r="D458" i="20" a="1"/>
  <c r="E458" i="20" a="1"/>
  <c r="E458" i="20" l="1"/>
  <c r="D458" i="20"/>
  <c r="B459" i="20"/>
  <c r="C459" i="20"/>
  <c r="A460" i="20"/>
  <c r="D459" i="20" a="1"/>
  <c r="E459" i="20" a="1"/>
  <c r="E459" i="20" l="1"/>
  <c r="D459" i="20"/>
  <c r="A461" i="20"/>
  <c r="B460" i="20"/>
  <c r="C460" i="20"/>
  <c r="D460" i="20" a="1"/>
  <c r="E460" i="20" a="1"/>
  <c r="E460" i="20" l="1"/>
  <c r="D460" i="20"/>
  <c r="C461" i="20"/>
  <c r="A462" i="20"/>
  <c r="B461" i="20"/>
  <c r="D461" i="20" a="1"/>
  <c r="E461" i="20" a="1"/>
  <c r="E461" i="20" l="1"/>
  <c r="D461" i="20"/>
  <c r="B462" i="20"/>
  <c r="A463" i="20"/>
  <c r="C462" i="20"/>
  <c r="E462" i="20" a="1"/>
  <c r="D462" i="20" a="1"/>
  <c r="D462" i="20" l="1"/>
  <c r="E462" i="20"/>
  <c r="B463" i="20"/>
  <c r="C463" i="20"/>
  <c r="A464" i="20"/>
  <c r="E463" i="20" a="1"/>
  <c r="D463" i="20" a="1"/>
  <c r="D463" i="20" l="1"/>
  <c r="E463" i="20"/>
  <c r="A465" i="20"/>
  <c r="B464" i="20"/>
  <c r="C464" i="20"/>
  <c r="D464" i="20" a="1"/>
  <c r="E464" i="20" a="1"/>
  <c r="E464" i="20" l="1"/>
  <c r="D464" i="20"/>
  <c r="C465" i="20"/>
  <c r="A466" i="20"/>
  <c r="B465" i="20"/>
  <c r="D465" i="20" a="1"/>
  <c r="E465" i="20" a="1"/>
  <c r="E465" i="20" l="1"/>
  <c r="D465" i="20"/>
  <c r="B466" i="20"/>
  <c r="C466" i="20"/>
  <c r="A467" i="20"/>
  <c r="E466" i="20" a="1"/>
  <c r="D466" i="20" a="1"/>
  <c r="D466" i="20" l="1"/>
  <c r="E466" i="20"/>
  <c r="C467" i="20"/>
  <c r="B467" i="20"/>
  <c r="A468" i="20"/>
  <c r="E467" i="20" a="1"/>
  <c r="D467" i="20" a="1"/>
  <c r="D467" i="20" l="1"/>
  <c r="E467" i="20"/>
  <c r="C468" i="20"/>
  <c r="A469" i="20"/>
  <c r="B468" i="20"/>
  <c r="E468" i="20" a="1"/>
  <c r="D468" i="20" a="1"/>
  <c r="D468" i="20" l="1"/>
  <c r="E468" i="20"/>
  <c r="C469" i="20"/>
  <c r="B469" i="20"/>
  <c r="A470" i="20"/>
  <c r="E469" i="20" a="1"/>
  <c r="D469" i="20" a="1"/>
  <c r="D469" i="20" l="1"/>
  <c r="E469" i="20"/>
  <c r="B470" i="20"/>
  <c r="A471" i="20"/>
  <c r="C470" i="20"/>
  <c r="D470" i="20" a="1"/>
  <c r="E470" i="20" a="1"/>
  <c r="E470" i="20" l="1"/>
  <c r="D470" i="20"/>
  <c r="B471" i="20"/>
  <c r="A472" i="20"/>
  <c r="C471" i="20"/>
  <c r="D471" i="20" a="1"/>
  <c r="E471" i="20" a="1"/>
  <c r="E471" i="20" l="1"/>
  <c r="D471" i="20"/>
  <c r="C472" i="20"/>
  <c r="A473" i="20"/>
  <c r="B472" i="20"/>
  <c r="E472" i="20" a="1"/>
  <c r="D472" i="20" a="1"/>
  <c r="D472" i="20" l="1"/>
  <c r="E472" i="20"/>
  <c r="C473" i="20"/>
  <c r="A474" i="20"/>
  <c r="B473" i="20"/>
  <c r="D473" i="20" a="1"/>
  <c r="E473" i="20" a="1"/>
  <c r="E473" i="20" l="1"/>
  <c r="D473" i="20"/>
  <c r="B474" i="20"/>
  <c r="A475" i="20"/>
  <c r="C474" i="20"/>
  <c r="E474" i="20" a="1"/>
  <c r="D474" i="20" a="1"/>
  <c r="D474" i="20" l="1"/>
  <c r="E474" i="20"/>
  <c r="B475" i="20"/>
  <c r="C475" i="20"/>
  <c r="A476" i="20"/>
  <c r="D475" i="20" a="1"/>
  <c r="E475" i="20" a="1"/>
  <c r="E475" i="20" l="1"/>
  <c r="D475" i="20"/>
  <c r="C476" i="20"/>
  <c r="A477" i="20"/>
  <c r="B476" i="20"/>
  <c r="E476" i="20" a="1"/>
  <c r="D476" i="20" a="1"/>
  <c r="D476" i="20" l="1"/>
  <c r="E476" i="20"/>
  <c r="C477" i="20"/>
  <c r="B477" i="20"/>
  <c r="A478" i="20"/>
  <c r="D477" i="20" a="1"/>
  <c r="E477" i="20" a="1"/>
  <c r="E477" i="20" l="1"/>
  <c r="D477" i="20"/>
  <c r="B478" i="20"/>
  <c r="C478" i="20"/>
  <c r="A479" i="20"/>
  <c r="E478" i="20" a="1"/>
  <c r="D478" i="20" a="1"/>
  <c r="D478" i="20" l="1"/>
  <c r="E478" i="20"/>
  <c r="B479" i="20"/>
  <c r="C479" i="20"/>
  <c r="A480" i="20"/>
  <c r="E479" i="20" a="1"/>
  <c r="D479" i="20" a="1"/>
  <c r="D479" i="20" l="1"/>
  <c r="E479" i="20"/>
  <c r="A481" i="20"/>
  <c r="C480" i="20"/>
  <c r="B480" i="20"/>
  <c r="E480" i="20" a="1"/>
  <c r="D480" i="20" a="1"/>
  <c r="D480" i="20" l="1"/>
  <c r="E480" i="20"/>
  <c r="C481" i="20"/>
  <c r="B481" i="20"/>
  <c r="A482" i="20"/>
  <c r="E481" i="20" a="1"/>
  <c r="D481" i="20" a="1"/>
  <c r="D481" i="20" l="1"/>
  <c r="E481" i="20"/>
  <c r="B482" i="20"/>
  <c r="C482" i="20"/>
  <c r="A483" i="20"/>
  <c r="E482" i="20" a="1"/>
  <c r="D482" i="20" a="1"/>
  <c r="D482" i="20" l="1"/>
  <c r="E482" i="20"/>
  <c r="C483" i="20"/>
  <c r="A484" i="20"/>
  <c r="B483" i="20"/>
  <c r="E483" i="20" a="1"/>
  <c r="D483" i="20" a="1"/>
  <c r="D483" i="20" l="1"/>
  <c r="E483" i="20"/>
  <c r="C484" i="20"/>
  <c r="A485" i="20"/>
  <c r="B484" i="20"/>
  <c r="E484" i="20" a="1"/>
  <c r="D484" i="20" a="1"/>
  <c r="D484" i="20" l="1"/>
  <c r="E484" i="20"/>
  <c r="C485" i="20"/>
  <c r="A486" i="20"/>
  <c r="B485" i="20"/>
  <c r="D485" i="20" a="1"/>
  <c r="E485" i="20" a="1"/>
  <c r="E485" i="20" l="1"/>
  <c r="D485" i="20"/>
  <c r="B486" i="20"/>
  <c r="A487" i="20"/>
  <c r="C486" i="20"/>
  <c r="D486" i="20" a="1"/>
  <c r="E486" i="20" a="1"/>
  <c r="E486" i="20" l="1"/>
  <c r="D486" i="20"/>
  <c r="B487" i="20"/>
  <c r="C487" i="20"/>
  <c r="A488" i="20"/>
  <c r="E487" i="20" a="1"/>
  <c r="D487" i="20" a="1"/>
  <c r="D487" i="20" l="1"/>
  <c r="E487" i="20"/>
  <c r="C488" i="20"/>
  <c r="A489" i="20"/>
  <c r="B488" i="20"/>
  <c r="D488" i="20" a="1"/>
  <c r="E488" i="20" a="1"/>
  <c r="E488" i="20" l="1"/>
  <c r="D488" i="20"/>
  <c r="C489" i="20"/>
  <c r="A490" i="20"/>
  <c r="B489" i="20"/>
  <c r="D489" i="20" a="1"/>
  <c r="E489" i="20" a="1"/>
  <c r="E489" i="20" l="1"/>
  <c r="D489" i="20"/>
  <c r="B490" i="20"/>
  <c r="A491" i="20"/>
  <c r="C490" i="20"/>
  <c r="D490" i="20" a="1"/>
  <c r="E490" i="20" a="1"/>
  <c r="E490" i="20" l="1"/>
  <c r="D490" i="20"/>
  <c r="B491" i="20"/>
  <c r="C491" i="20"/>
  <c r="A492" i="20"/>
  <c r="E491" i="20" a="1"/>
  <c r="D491" i="20" a="1"/>
  <c r="D491" i="20" l="1"/>
  <c r="E491" i="20"/>
  <c r="C492" i="20"/>
  <c r="A493" i="20"/>
  <c r="B492" i="20"/>
  <c r="D492" i="20" a="1"/>
  <c r="E492" i="20" a="1"/>
  <c r="E492" i="20" l="1"/>
  <c r="D492" i="20"/>
  <c r="C493" i="20"/>
  <c r="A494" i="20"/>
  <c r="B493" i="20"/>
  <c r="E493" i="20" a="1"/>
  <c r="D493" i="20" a="1"/>
  <c r="D493" i="20" l="1"/>
  <c r="E493" i="20"/>
  <c r="B494" i="20"/>
  <c r="A495" i="20"/>
  <c r="C494" i="20"/>
  <c r="E494" i="20" a="1"/>
  <c r="D494" i="20" a="1"/>
  <c r="D494" i="20" l="1"/>
  <c r="E494" i="20"/>
  <c r="B495" i="20"/>
  <c r="A496" i="20"/>
  <c r="C495" i="20"/>
  <c r="E495" i="20" a="1"/>
  <c r="D495" i="20" a="1"/>
  <c r="D495" i="20" l="1"/>
  <c r="E495" i="20"/>
  <c r="A497" i="20"/>
  <c r="C496" i="20"/>
  <c r="B496" i="20"/>
  <c r="E496" i="20" a="1"/>
  <c r="D496" i="20" a="1"/>
  <c r="D496" i="20" l="1"/>
  <c r="E496" i="20"/>
  <c r="C497" i="20"/>
  <c r="B497" i="20"/>
  <c r="A498" i="20"/>
  <c r="E497" i="20" a="1"/>
  <c r="D497" i="20" a="1"/>
  <c r="D497" i="20" l="1"/>
  <c r="E497" i="20"/>
  <c r="B498" i="20"/>
  <c r="C498" i="20"/>
  <c r="A499" i="20"/>
  <c r="E498" i="20" a="1"/>
  <c r="D498" i="20" a="1"/>
  <c r="D498" i="20" l="1"/>
  <c r="E498" i="20"/>
  <c r="A500" i="20"/>
  <c r="C499" i="20"/>
  <c r="B499" i="20"/>
  <c r="E499" i="20" a="1"/>
  <c r="D499" i="20" a="1"/>
  <c r="D499" i="20" l="1"/>
  <c r="E499" i="20"/>
  <c r="C500" i="20"/>
  <c r="B500" i="20"/>
  <c r="A501" i="20"/>
  <c r="D500" i="20" a="1"/>
  <c r="E500" i="20" a="1"/>
  <c r="E500" i="20" l="1"/>
  <c r="D500" i="20"/>
  <c r="C501" i="20"/>
  <c r="A502" i="20"/>
  <c r="B501" i="20"/>
  <c r="D501" i="20" a="1"/>
  <c r="E501" i="20" a="1"/>
  <c r="E501" i="20" l="1"/>
  <c r="D501" i="20"/>
  <c r="A503" i="20"/>
  <c r="B502" i="20"/>
  <c r="C502" i="20"/>
  <c r="E502" i="20" a="1"/>
  <c r="D502" i="20" a="1"/>
  <c r="D502" i="20" l="1"/>
  <c r="E502" i="20"/>
  <c r="B503" i="20"/>
  <c r="C503" i="20"/>
  <c r="A504" i="20"/>
  <c r="E503" i="20" a="1"/>
  <c r="D503" i="20" a="1"/>
  <c r="D503" i="20" l="1"/>
  <c r="E503" i="20"/>
  <c r="C504" i="20"/>
  <c r="B504" i="20"/>
  <c r="A505" i="20"/>
  <c r="D504" i="20" a="1"/>
  <c r="E504" i="20" a="1"/>
  <c r="E504" i="20" l="1"/>
  <c r="D504" i="20"/>
  <c r="C505" i="20"/>
  <c r="B505" i="20"/>
  <c r="A506" i="20"/>
  <c r="D505" i="20" a="1"/>
  <c r="E505" i="20" a="1"/>
  <c r="E505" i="20" l="1"/>
  <c r="D505" i="20"/>
  <c r="A507" i="20"/>
  <c r="B506" i="20"/>
  <c r="C506" i="20"/>
  <c r="E506" i="20" a="1"/>
  <c r="D506" i="20" a="1"/>
  <c r="D506" i="20" l="1"/>
  <c r="E506" i="20"/>
  <c r="B507" i="20"/>
  <c r="A508" i="20"/>
  <c r="C507" i="20"/>
  <c r="D507" i="20" a="1"/>
  <c r="E507" i="20" a="1"/>
  <c r="E507" i="20" l="1"/>
  <c r="D507" i="20"/>
  <c r="C508" i="20"/>
  <c r="A509" i="20"/>
  <c r="B508" i="20"/>
  <c r="D508" i="20" a="1"/>
  <c r="E508" i="20" a="1"/>
  <c r="E508" i="20" l="1"/>
  <c r="D508" i="20"/>
  <c r="C509" i="20"/>
  <c r="B509" i="20"/>
  <c r="A510" i="20"/>
  <c r="E509" i="20" a="1"/>
  <c r="D509" i="20" a="1"/>
  <c r="D509" i="20" l="1"/>
  <c r="E509" i="20"/>
  <c r="B510" i="20"/>
  <c r="C510" i="20"/>
  <c r="A511" i="20"/>
  <c r="D510" i="20" a="1"/>
  <c r="E510" i="20" a="1"/>
  <c r="E510" i="20" l="1"/>
  <c r="D510" i="20"/>
  <c r="B511" i="20"/>
  <c r="C511" i="20"/>
  <c r="A512" i="20"/>
  <c r="E511" i="20" a="1"/>
  <c r="D511" i="20" a="1"/>
  <c r="D511" i="20" l="1"/>
  <c r="E511" i="20"/>
  <c r="A513" i="20"/>
  <c r="C512" i="20"/>
  <c r="B512" i="20"/>
  <c r="D512" i="20" a="1"/>
  <c r="E512" i="20" a="1"/>
  <c r="E512" i="20" l="1"/>
  <c r="D512" i="20"/>
  <c r="A514" i="20"/>
  <c r="B513" i="20"/>
  <c r="C513" i="20"/>
  <c r="D513" i="20" a="1"/>
  <c r="E513" i="20" a="1"/>
  <c r="E513" i="20" l="1"/>
  <c r="D513" i="20"/>
  <c r="A515" i="20"/>
  <c r="C514" i="20"/>
  <c r="B514" i="20"/>
  <c r="D514" i="20" a="1"/>
  <c r="E514" i="20" a="1"/>
  <c r="E514" i="20" l="1"/>
  <c r="D514" i="20"/>
  <c r="B515" i="20"/>
  <c r="A516" i="20"/>
  <c r="C515" i="20"/>
  <c r="E515" i="20" a="1"/>
  <c r="D515" i="20" a="1"/>
  <c r="D515" i="20" l="1"/>
  <c r="E515" i="20"/>
  <c r="A517" i="20"/>
  <c r="B516" i="20"/>
  <c r="C516" i="20"/>
  <c r="E516" i="20" a="1"/>
  <c r="D516" i="20" a="1"/>
  <c r="D516" i="20" l="1"/>
  <c r="E516" i="20"/>
  <c r="A518" i="20"/>
  <c r="B517" i="20"/>
  <c r="C517" i="20"/>
  <c r="D517" i="20" a="1"/>
  <c r="E517" i="20" a="1"/>
  <c r="E517" i="20" l="1"/>
  <c r="D517" i="20"/>
  <c r="B518" i="20"/>
  <c r="A519" i="20"/>
  <c r="C518" i="20"/>
  <c r="E518" i="20" a="1"/>
  <c r="D518" i="20" a="1"/>
  <c r="D518" i="20" l="1"/>
  <c r="E518" i="20"/>
  <c r="B519" i="20"/>
  <c r="A520" i="20"/>
  <c r="C519" i="20"/>
  <c r="D519" i="20" a="1"/>
  <c r="E519" i="20" a="1"/>
  <c r="E519" i="20" l="1"/>
  <c r="D519" i="20"/>
  <c r="A521" i="20"/>
  <c r="C520" i="20"/>
  <c r="B520" i="20"/>
  <c r="D520" i="20" a="1"/>
  <c r="E520" i="20" a="1"/>
  <c r="E520" i="20" l="1"/>
  <c r="D520" i="20"/>
  <c r="C521" i="20"/>
  <c r="A522" i="20"/>
  <c r="B521" i="20"/>
  <c r="D521" i="20" a="1"/>
  <c r="E521" i="20" a="1"/>
  <c r="E521" i="20" l="1"/>
  <c r="D521" i="20"/>
  <c r="C522" i="20"/>
  <c r="A523" i="20"/>
  <c r="B522" i="20"/>
  <c r="E522" i="20" a="1"/>
  <c r="D522" i="20" a="1"/>
  <c r="D522" i="20" l="1"/>
  <c r="E522" i="20"/>
  <c r="C523" i="20"/>
  <c r="B523" i="20"/>
  <c r="A524" i="20"/>
  <c r="E523" i="20" a="1"/>
  <c r="D523" i="20" a="1"/>
  <c r="D523" i="20" l="1"/>
  <c r="E523" i="20"/>
  <c r="B524" i="20"/>
  <c r="A525" i="20"/>
  <c r="C524" i="20"/>
  <c r="E524" i="20" a="1"/>
  <c r="D524" i="20" a="1"/>
  <c r="D524" i="20" l="1"/>
  <c r="E524" i="20"/>
  <c r="B525" i="20"/>
  <c r="A526" i="20"/>
  <c r="C525" i="20"/>
  <c r="E525" i="20" a="1"/>
  <c r="D525" i="20" a="1"/>
  <c r="D525" i="20" l="1"/>
  <c r="E525" i="20"/>
  <c r="C526" i="20"/>
  <c r="B526" i="20"/>
  <c r="A527" i="20"/>
  <c r="D526" i="20" a="1"/>
  <c r="E526" i="20" a="1"/>
  <c r="E526" i="20" l="1"/>
  <c r="D526" i="20"/>
  <c r="C527" i="20"/>
  <c r="A528" i="20"/>
  <c r="B527" i="20"/>
  <c r="D527" i="20" a="1"/>
  <c r="E527" i="20" a="1"/>
  <c r="E527" i="20" l="1"/>
  <c r="D527" i="20"/>
  <c r="B528" i="20"/>
  <c r="A529" i="20"/>
  <c r="C528" i="20"/>
  <c r="E528" i="20" a="1"/>
  <c r="D528" i="20" a="1"/>
  <c r="D528" i="20" l="1"/>
  <c r="E528" i="20"/>
  <c r="B529" i="20"/>
  <c r="A530" i="20"/>
  <c r="C529" i="20"/>
  <c r="D529" i="20" a="1"/>
  <c r="E529" i="20" a="1"/>
  <c r="E529" i="20" l="1"/>
  <c r="D529" i="20"/>
  <c r="C530" i="20"/>
  <c r="B530" i="20"/>
  <c r="A531" i="20"/>
  <c r="E530" i="20" a="1"/>
  <c r="D530" i="20" a="1"/>
  <c r="D530" i="20" l="1"/>
  <c r="E530" i="20"/>
  <c r="C531" i="20"/>
  <c r="B531" i="20"/>
  <c r="A532" i="20"/>
  <c r="E531" i="20" a="1"/>
  <c r="D531" i="20" a="1"/>
  <c r="D531" i="20" l="1"/>
  <c r="E531" i="20"/>
  <c r="B532" i="20"/>
  <c r="A533" i="20"/>
  <c r="C532" i="20"/>
  <c r="D532" i="20" a="1"/>
  <c r="E532" i="20" a="1"/>
  <c r="E532" i="20" l="1"/>
  <c r="D532" i="20"/>
  <c r="B533" i="20"/>
  <c r="A534" i="20"/>
  <c r="C533" i="20"/>
  <c r="D533" i="20" a="1"/>
  <c r="E533" i="20" a="1"/>
  <c r="E533" i="20" l="1"/>
  <c r="D533" i="20"/>
  <c r="A535" i="20"/>
  <c r="C534" i="20"/>
  <c r="B534" i="20"/>
  <c r="E534" i="20" a="1"/>
  <c r="D534" i="20" a="1"/>
  <c r="D534" i="20" l="1"/>
  <c r="E534" i="20"/>
  <c r="C535" i="20"/>
  <c r="A536" i="20"/>
  <c r="B535" i="20"/>
  <c r="D535" i="20" a="1"/>
  <c r="E535" i="20" a="1"/>
  <c r="E535" i="20" l="1"/>
  <c r="D535" i="20"/>
  <c r="B536" i="20"/>
  <c r="C536" i="20"/>
  <c r="A537" i="20"/>
  <c r="D536" i="20" a="1"/>
  <c r="E536" i="20" a="1"/>
  <c r="E536" i="20" l="1"/>
  <c r="D536" i="20"/>
  <c r="C537" i="20"/>
  <c r="B537" i="20"/>
  <c r="A538" i="20"/>
  <c r="E537" i="20" a="1"/>
  <c r="D537" i="20" a="1"/>
  <c r="D537" i="20" l="1"/>
  <c r="E537" i="20"/>
  <c r="C538" i="20"/>
  <c r="B538" i="20"/>
  <c r="A539" i="20"/>
  <c r="E538" i="20" a="1"/>
  <c r="D538" i="20" a="1"/>
  <c r="D538" i="20" l="1"/>
  <c r="E538" i="20"/>
  <c r="C539" i="20"/>
  <c r="A540" i="20"/>
  <c r="B539" i="20"/>
  <c r="E539" i="20" a="1"/>
  <c r="D539" i="20" a="1"/>
  <c r="D539" i="20" l="1"/>
  <c r="E539" i="20"/>
  <c r="B540" i="20"/>
  <c r="C540" i="20"/>
  <c r="A541" i="20"/>
  <c r="E540" i="20" a="1"/>
  <c r="D540" i="20" a="1"/>
  <c r="D540" i="20" l="1"/>
  <c r="E540" i="20"/>
  <c r="B541" i="20"/>
  <c r="C541" i="20"/>
  <c r="A542" i="20"/>
  <c r="D541" i="20" a="1"/>
  <c r="E541" i="20" a="1"/>
  <c r="E541" i="20" l="1"/>
  <c r="D541" i="20"/>
  <c r="C542" i="20"/>
  <c r="A543" i="20"/>
  <c r="B542" i="20"/>
  <c r="D542" i="20" a="1"/>
  <c r="E542" i="20" a="1"/>
  <c r="E542" i="20" l="1"/>
  <c r="D542" i="20"/>
  <c r="C543" i="20"/>
  <c r="B543" i="20"/>
  <c r="A544" i="20"/>
  <c r="E543" i="20" a="1"/>
  <c r="D543" i="20" a="1"/>
  <c r="D543" i="20" l="1"/>
  <c r="E543" i="20"/>
  <c r="B544" i="20"/>
  <c r="A545" i="20"/>
  <c r="C544" i="20"/>
  <c r="D544" i="20" a="1"/>
  <c r="E544" i="20" a="1"/>
  <c r="E544" i="20" l="1"/>
  <c r="D544" i="20"/>
  <c r="B545" i="20"/>
  <c r="A546" i="20"/>
  <c r="C545" i="20"/>
  <c r="D545" i="20" a="1"/>
  <c r="E545" i="20" a="1"/>
  <c r="E545" i="20" l="1"/>
  <c r="D545" i="20"/>
  <c r="C546" i="20"/>
  <c r="A547" i="20"/>
  <c r="B546" i="20"/>
  <c r="D546" i="20" a="1"/>
  <c r="E546" i="20" a="1"/>
  <c r="E546" i="20" l="1"/>
  <c r="D546" i="20"/>
  <c r="C547" i="20"/>
  <c r="B547" i="20"/>
  <c r="A548" i="20"/>
  <c r="D547" i="20" a="1"/>
  <c r="E547" i="20" a="1"/>
  <c r="E547" i="20" l="1"/>
  <c r="D547" i="20"/>
  <c r="A549" i="20"/>
  <c r="C548" i="20"/>
  <c r="B548" i="20"/>
  <c r="E548" i="20" a="1"/>
  <c r="D548" i="20" a="1"/>
  <c r="D548" i="20" l="1"/>
  <c r="E548" i="20"/>
  <c r="C549" i="20"/>
  <c r="A550" i="20"/>
  <c r="B549" i="20"/>
  <c r="D549" i="20" a="1"/>
  <c r="E549" i="20" a="1"/>
  <c r="E549" i="20" l="1"/>
  <c r="D549" i="20"/>
  <c r="B550" i="20"/>
  <c r="C550" i="20"/>
  <c r="A551" i="20"/>
  <c r="E550" i="20" a="1"/>
  <c r="D550" i="20" a="1"/>
  <c r="D550" i="20" l="1"/>
  <c r="E550" i="20"/>
  <c r="A552" i="20"/>
  <c r="B551" i="20"/>
  <c r="C551" i="20"/>
  <c r="E551" i="20" a="1"/>
  <c r="D551" i="20" a="1"/>
  <c r="D551" i="20" l="1"/>
  <c r="E551" i="20"/>
  <c r="A553" i="20"/>
  <c r="C552" i="20"/>
  <c r="B552" i="20"/>
  <c r="E552" i="20" a="1"/>
  <c r="D552" i="20" a="1"/>
  <c r="D552" i="20" l="1"/>
  <c r="E552" i="20"/>
  <c r="B553" i="20"/>
  <c r="A554" i="20"/>
  <c r="C553" i="20"/>
  <c r="E553" i="20" a="1"/>
  <c r="D553" i="20" a="1"/>
  <c r="D553" i="20" l="1"/>
  <c r="E553" i="20"/>
  <c r="A555" i="20"/>
  <c r="B554" i="20"/>
  <c r="C554" i="20"/>
  <c r="D554" i="20" a="1"/>
  <c r="E554" i="20" a="1"/>
  <c r="E554" i="20" l="1"/>
  <c r="D554" i="20"/>
  <c r="C555" i="20"/>
  <c r="B555" i="20"/>
  <c r="A556" i="20"/>
  <c r="E555" i="20" a="1"/>
  <c r="D555" i="20" a="1"/>
  <c r="D555" i="20" l="1"/>
  <c r="E555" i="20"/>
  <c r="A557" i="20"/>
  <c r="B556" i="20"/>
  <c r="C556" i="20"/>
  <c r="D556" i="20" a="1"/>
  <c r="E556" i="20" a="1"/>
  <c r="E556" i="20" l="1"/>
  <c r="D556" i="20"/>
  <c r="B557" i="20"/>
  <c r="A558" i="20"/>
  <c r="C557" i="20"/>
  <c r="E557" i="20" a="1"/>
  <c r="D557" i="20" a="1"/>
  <c r="D557" i="20" l="1"/>
  <c r="E557" i="20"/>
  <c r="A559" i="20"/>
  <c r="B558" i="20"/>
  <c r="C558" i="20"/>
  <c r="D558" i="20" a="1"/>
  <c r="E558" i="20" a="1"/>
  <c r="E558" i="20" l="1"/>
  <c r="D558" i="20"/>
  <c r="C559" i="20"/>
  <c r="A560" i="20"/>
  <c r="B559" i="20"/>
  <c r="E559" i="20" a="1"/>
  <c r="D559" i="20" a="1"/>
  <c r="D559" i="20" l="1"/>
  <c r="E559" i="20"/>
  <c r="A561" i="20"/>
  <c r="C560" i="20"/>
  <c r="B560" i="20"/>
  <c r="D560" i="20" a="1"/>
  <c r="E560" i="20" a="1"/>
  <c r="E560" i="20" l="1"/>
  <c r="D560" i="20"/>
  <c r="C561" i="20"/>
  <c r="B561" i="20"/>
  <c r="A562" i="20"/>
  <c r="E561" i="20" a="1"/>
  <c r="D561" i="20" a="1"/>
  <c r="D561" i="20" l="1"/>
  <c r="E561" i="20"/>
  <c r="C562" i="20"/>
  <c r="B562" i="20"/>
  <c r="A563" i="20"/>
  <c r="E562" i="20" a="1"/>
  <c r="D562" i="20" a="1"/>
  <c r="D562" i="20" l="1"/>
  <c r="E562" i="20"/>
  <c r="C563" i="20"/>
  <c r="B563" i="20"/>
  <c r="A564" i="20"/>
  <c r="E563" i="20" a="1"/>
  <c r="D563" i="20" a="1"/>
  <c r="D563" i="20" l="1"/>
  <c r="E563" i="20"/>
  <c r="A565" i="20"/>
  <c r="B564" i="20"/>
  <c r="C564" i="20"/>
  <c r="D564" i="20" a="1"/>
  <c r="E564" i="20" a="1"/>
  <c r="E564" i="20" l="1"/>
  <c r="D564" i="20"/>
  <c r="C565" i="20"/>
  <c r="A566" i="20"/>
  <c r="B565" i="20"/>
  <c r="D565" i="20" a="1"/>
  <c r="E565" i="20" a="1"/>
  <c r="E565" i="20" l="1"/>
  <c r="D565" i="20"/>
  <c r="B566" i="20"/>
  <c r="C566" i="20"/>
  <c r="A567" i="20"/>
  <c r="E566" i="20" a="1"/>
  <c r="D566" i="20" a="1"/>
  <c r="D566" i="20" l="1"/>
  <c r="E566" i="20"/>
  <c r="A568" i="20"/>
  <c r="C567" i="20"/>
  <c r="B567" i="20"/>
  <c r="D567" i="20" a="1"/>
  <c r="E567" i="20" a="1"/>
  <c r="E567" i="20" l="1"/>
  <c r="D567" i="20"/>
  <c r="A569" i="20"/>
  <c r="C568" i="20"/>
  <c r="B568" i="20"/>
  <c r="D568" i="20" a="1"/>
  <c r="E568" i="20" a="1"/>
  <c r="E568" i="20" l="1"/>
  <c r="D568" i="20"/>
  <c r="B569" i="20"/>
  <c r="A570" i="20"/>
  <c r="C569" i="20"/>
  <c r="D569" i="20" a="1"/>
  <c r="E569" i="20" a="1"/>
  <c r="E569" i="20" l="1"/>
  <c r="D569" i="20"/>
  <c r="A571" i="20"/>
  <c r="C570" i="20"/>
  <c r="B570" i="20"/>
  <c r="E570" i="20" a="1"/>
  <c r="D570" i="20" a="1"/>
  <c r="D570" i="20" l="1"/>
  <c r="E570" i="20"/>
  <c r="A572" i="20"/>
  <c r="B571" i="20"/>
  <c r="C571" i="20"/>
  <c r="D571" i="20" a="1"/>
  <c r="E571" i="20" a="1"/>
  <c r="E571" i="20" l="1"/>
  <c r="D571" i="20"/>
  <c r="A573" i="20"/>
  <c r="C572" i="20"/>
  <c r="B572" i="20"/>
  <c r="D572" i="20" a="1"/>
  <c r="E572" i="20" a="1"/>
  <c r="E572" i="20" l="1"/>
  <c r="D572" i="20"/>
  <c r="C573" i="20"/>
  <c r="A574" i="20"/>
  <c r="B573" i="20"/>
  <c r="E573" i="20" a="1"/>
  <c r="D573" i="20" a="1"/>
  <c r="D573" i="20" l="1"/>
  <c r="E573" i="20"/>
  <c r="C574" i="20"/>
  <c r="B574" i="20"/>
  <c r="A575" i="20"/>
  <c r="E574" i="20" a="1"/>
  <c r="D574" i="20" a="1"/>
  <c r="D574" i="20" l="1"/>
  <c r="E574" i="20"/>
  <c r="C575" i="20"/>
  <c r="A576" i="20"/>
  <c r="B575" i="20"/>
  <c r="D575" i="20" a="1"/>
  <c r="E575" i="20" a="1"/>
  <c r="E575" i="20" l="1"/>
  <c r="D575" i="20"/>
  <c r="A577" i="20"/>
  <c r="C576" i="20"/>
  <c r="B576" i="20"/>
  <c r="D576" i="20" a="1"/>
  <c r="E576" i="20" a="1"/>
  <c r="E576" i="20" l="1"/>
  <c r="D576" i="20"/>
  <c r="C577" i="20"/>
  <c r="B577" i="20"/>
  <c r="A578" i="20"/>
  <c r="D577" i="20" a="1"/>
  <c r="E577" i="20" a="1"/>
  <c r="E577" i="20" l="1"/>
  <c r="D577" i="20"/>
  <c r="A579" i="20"/>
  <c r="B578" i="20"/>
  <c r="C578" i="20"/>
  <c r="E578" i="20" a="1"/>
  <c r="D578" i="20" a="1"/>
  <c r="D578" i="20" l="1"/>
  <c r="E578" i="20"/>
  <c r="A580" i="20"/>
  <c r="B579" i="20"/>
  <c r="C579" i="20"/>
  <c r="D579" i="20" a="1"/>
  <c r="E579" i="20" a="1"/>
  <c r="E579" i="20" l="1"/>
  <c r="D579" i="20"/>
  <c r="A581" i="20"/>
  <c r="C580" i="20"/>
  <c r="B580" i="20"/>
  <c r="E580" i="20" a="1"/>
  <c r="D580" i="20" a="1"/>
  <c r="D580" i="20" l="1"/>
  <c r="E580" i="20"/>
  <c r="C581" i="20"/>
  <c r="A582" i="20"/>
  <c r="B581" i="20"/>
  <c r="E581" i="20" a="1"/>
  <c r="D581" i="20" a="1"/>
  <c r="D581" i="20" l="1"/>
  <c r="E581" i="20"/>
  <c r="B582" i="20"/>
  <c r="C582" i="20"/>
  <c r="A583" i="20"/>
  <c r="E582" i="20" a="1"/>
  <c r="D582" i="20" a="1"/>
  <c r="D582" i="20" l="1"/>
  <c r="E582" i="20"/>
  <c r="A584" i="20"/>
  <c r="C583" i="20"/>
  <c r="B583" i="20"/>
  <c r="D583" i="20" a="1"/>
  <c r="E583" i="20" a="1"/>
  <c r="E583" i="20" l="1"/>
  <c r="D583" i="20"/>
  <c r="A585" i="20"/>
  <c r="C584" i="20"/>
  <c r="B584" i="20"/>
  <c r="D584" i="20" a="1"/>
  <c r="E584" i="20" a="1"/>
  <c r="E584" i="20" l="1"/>
  <c r="D584" i="20"/>
  <c r="B585" i="20"/>
  <c r="C585" i="20"/>
  <c r="A586" i="20"/>
  <c r="E585" i="20" a="1"/>
  <c r="D585" i="20" a="1"/>
  <c r="D585" i="20" l="1"/>
  <c r="E585" i="20"/>
  <c r="A587" i="20"/>
  <c r="B586" i="20"/>
  <c r="C586" i="20"/>
  <c r="E586" i="20" a="1"/>
  <c r="D586" i="20" a="1"/>
  <c r="D586" i="20" l="1"/>
  <c r="E586" i="20"/>
  <c r="A588" i="20"/>
  <c r="B587" i="20"/>
  <c r="C587" i="20"/>
  <c r="E587" i="20" a="1"/>
  <c r="D587" i="20" a="1"/>
  <c r="D587" i="20" l="1"/>
  <c r="E587" i="20"/>
  <c r="B588" i="20"/>
  <c r="A589" i="20"/>
  <c r="C588" i="20"/>
  <c r="D588" i="20" a="1"/>
  <c r="E588" i="20" a="1"/>
  <c r="E588" i="20" l="1"/>
  <c r="D588" i="20"/>
  <c r="B589" i="20"/>
  <c r="C589" i="20"/>
  <c r="A590" i="20"/>
  <c r="D589" i="20" a="1"/>
  <c r="E589" i="20" a="1"/>
  <c r="E589" i="20" l="1"/>
  <c r="D589" i="20"/>
  <c r="C590" i="20"/>
  <c r="B590" i="20"/>
  <c r="A591" i="20"/>
  <c r="D590" i="20" a="1"/>
  <c r="E590" i="20" a="1"/>
  <c r="E590" i="20" l="1"/>
  <c r="D590" i="20"/>
  <c r="C591" i="20"/>
  <c r="B591" i="20"/>
  <c r="A592" i="20"/>
  <c r="D591" i="20" a="1"/>
  <c r="E591" i="20" a="1"/>
  <c r="E591" i="20" l="1"/>
  <c r="D591" i="20"/>
  <c r="B592" i="20"/>
  <c r="A593" i="20"/>
  <c r="C592" i="20"/>
  <c r="D592" i="20" a="1"/>
  <c r="E592" i="20" a="1"/>
  <c r="E592" i="20" l="1"/>
  <c r="D592" i="20"/>
  <c r="B593" i="20"/>
  <c r="A594" i="20"/>
  <c r="C593" i="20"/>
  <c r="D593" i="20" a="1"/>
  <c r="E593" i="20" a="1"/>
  <c r="E593" i="20" l="1"/>
  <c r="D593" i="20"/>
  <c r="C594" i="20"/>
  <c r="B594" i="20"/>
  <c r="A595" i="20"/>
  <c r="E594" i="20" a="1"/>
  <c r="D594" i="20" a="1"/>
  <c r="D594" i="20" l="1"/>
  <c r="E594" i="20"/>
  <c r="B595" i="20"/>
  <c r="A596" i="20"/>
  <c r="C595" i="20"/>
  <c r="E595" i="20" a="1"/>
  <c r="D595" i="20" a="1"/>
  <c r="D595" i="20" l="1"/>
  <c r="E595" i="20"/>
  <c r="A597" i="20"/>
  <c r="C596" i="20"/>
  <c r="B596" i="20"/>
  <c r="D596" i="20" a="1"/>
  <c r="E596" i="20" a="1"/>
  <c r="E596" i="20" l="1"/>
  <c r="D596" i="20"/>
  <c r="C597" i="20"/>
  <c r="B597" i="20"/>
  <c r="A598" i="20"/>
  <c r="E597" i="20" a="1"/>
  <c r="D597" i="20" a="1"/>
  <c r="D597" i="20" l="1"/>
  <c r="E597" i="20"/>
  <c r="B598" i="20"/>
  <c r="C598" i="20"/>
  <c r="A599" i="20"/>
  <c r="D598" i="20" a="1"/>
  <c r="E598" i="20" a="1"/>
  <c r="E598" i="20" l="1"/>
  <c r="D598" i="20"/>
  <c r="A600" i="20"/>
  <c r="B599" i="20"/>
  <c r="C599" i="20"/>
  <c r="D599" i="20" a="1"/>
  <c r="E599" i="20" a="1"/>
  <c r="E599" i="20" l="1"/>
  <c r="D599" i="20"/>
  <c r="B600" i="20"/>
  <c r="A601" i="20"/>
  <c r="C600" i="20"/>
  <c r="E600" i="20" a="1"/>
  <c r="D600" i="20" a="1"/>
  <c r="D600" i="20" l="1"/>
  <c r="E600" i="20"/>
  <c r="C601" i="20"/>
  <c r="B601" i="20"/>
  <c r="A602" i="20"/>
  <c r="E601" i="20" a="1"/>
  <c r="D601" i="20" a="1"/>
  <c r="D601" i="20" l="1"/>
  <c r="E601" i="20"/>
  <c r="C602" i="20"/>
  <c r="A603" i="20"/>
  <c r="B602" i="20"/>
  <c r="D602" i="20" a="1"/>
  <c r="E602" i="20" a="1"/>
  <c r="E602" i="20" l="1"/>
  <c r="D602" i="20"/>
  <c r="C603" i="20"/>
  <c r="A604" i="20"/>
  <c r="B603" i="20"/>
  <c r="E603" i="20" a="1"/>
  <c r="D603" i="20" a="1"/>
  <c r="D603" i="20" l="1"/>
  <c r="E603" i="20"/>
  <c r="B604" i="20"/>
  <c r="A605" i="20"/>
  <c r="C604" i="20"/>
  <c r="D604" i="20" a="1"/>
  <c r="E604" i="20" a="1"/>
  <c r="E604" i="20" l="1"/>
  <c r="D604" i="20"/>
  <c r="B605" i="20"/>
  <c r="C605" i="20"/>
  <c r="A606" i="20"/>
  <c r="D605" i="20" a="1"/>
  <c r="E605" i="20" a="1"/>
  <c r="E605" i="20" l="1"/>
  <c r="D605" i="20"/>
  <c r="C606" i="20"/>
  <c r="A607" i="20"/>
  <c r="B606" i="20"/>
  <c r="E606" i="20" a="1"/>
  <c r="D606" i="20" a="1"/>
  <c r="D606" i="20" l="1"/>
  <c r="E606" i="20"/>
  <c r="C607" i="20"/>
  <c r="A608" i="20"/>
  <c r="B607" i="20"/>
  <c r="D607" i="20" a="1"/>
  <c r="E607" i="20" a="1"/>
  <c r="E607" i="20" l="1"/>
  <c r="D607" i="20"/>
  <c r="B608" i="20"/>
  <c r="A609" i="20"/>
  <c r="C608" i="20"/>
  <c r="D608" i="20" a="1"/>
  <c r="E608" i="20" a="1"/>
  <c r="E608" i="20" l="1"/>
  <c r="D608" i="20"/>
  <c r="B609" i="20"/>
  <c r="C609" i="20"/>
  <c r="A610" i="20"/>
  <c r="E609" i="20" a="1"/>
  <c r="D609" i="20" a="1"/>
  <c r="D609" i="20" l="1"/>
  <c r="E609" i="20"/>
  <c r="A611" i="20"/>
  <c r="B610" i="20"/>
  <c r="C610" i="20"/>
  <c r="E610" i="20" a="1"/>
  <c r="D610" i="20" a="1"/>
  <c r="D610" i="20" l="1"/>
  <c r="E610" i="20"/>
  <c r="A612" i="20"/>
  <c r="C611" i="20"/>
  <c r="B611" i="20"/>
  <c r="E611" i="20" a="1"/>
  <c r="D611" i="20" a="1"/>
  <c r="D611" i="20" l="1"/>
  <c r="E611" i="20"/>
  <c r="A613" i="20"/>
  <c r="C612" i="20"/>
  <c r="B612" i="20"/>
  <c r="D612" i="20" a="1"/>
  <c r="E612" i="20" a="1"/>
  <c r="E612" i="20" l="1"/>
  <c r="D612" i="20"/>
  <c r="B613" i="20"/>
  <c r="C613" i="20"/>
  <c r="A614" i="20"/>
  <c r="D613" i="20" a="1"/>
  <c r="E613" i="20" a="1"/>
  <c r="E613" i="20" l="1"/>
  <c r="D613" i="20"/>
  <c r="A615" i="20"/>
  <c r="C614" i="20"/>
  <c r="B614" i="20"/>
  <c r="E614" i="20" a="1"/>
  <c r="D614" i="20" a="1"/>
  <c r="D614" i="20" l="1"/>
  <c r="E614" i="20"/>
  <c r="C615" i="20"/>
  <c r="A616" i="20"/>
  <c r="B615" i="20"/>
  <c r="D615" i="20" a="1"/>
  <c r="E615" i="20" a="1"/>
  <c r="E615" i="20" l="1"/>
  <c r="D615" i="20"/>
  <c r="B616" i="20"/>
  <c r="A617" i="20"/>
  <c r="C616" i="20"/>
  <c r="E616" i="20" a="1"/>
  <c r="D616" i="20" a="1"/>
  <c r="D616" i="20" l="1"/>
  <c r="E616" i="20"/>
  <c r="C617" i="20"/>
  <c r="B617" i="20"/>
  <c r="A618" i="20"/>
  <c r="D617" i="20" a="1"/>
  <c r="E617" i="20" a="1"/>
  <c r="E617" i="20" l="1"/>
  <c r="D617" i="20"/>
  <c r="C618" i="20"/>
  <c r="A619" i="20"/>
  <c r="B618" i="20"/>
  <c r="E618" i="20" a="1"/>
  <c r="D618" i="20" a="1"/>
  <c r="D618" i="20" l="1"/>
  <c r="E618" i="20"/>
  <c r="C619" i="20"/>
  <c r="A620" i="20"/>
  <c r="B619" i="20"/>
  <c r="D619" i="20" a="1"/>
  <c r="E619" i="20" a="1"/>
  <c r="E619" i="20" l="1"/>
  <c r="D619" i="20"/>
  <c r="A621" i="20"/>
  <c r="B620" i="20"/>
  <c r="C620" i="20"/>
  <c r="D620" i="20" a="1"/>
  <c r="E620" i="20" a="1"/>
  <c r="E620" i="20" l="1"/>
  <c r="D620" i="20"/>
  <c r="B621" i="20"/>
  <c r="A622" i="20"/>
  <c r="C621" i="20"/>
  <c r="D621" i="20" a="1"/>
  <c r="E621" i="20" a="1"/>
  <c r="E621" i="20" l="1"/>
  <c r="D621" i="20"/>
  <c r="A623" i="20"/>
  <c r="B622" i="20"/>
  <c r="C622" i="20"/>
  <c r="D622" i="20" a="1"/>
  <c r="E622" i="20" a="1"/>
  <c r="E622" i="20" l="1"/>
  <c r="D622" i="20"/>
  <c r="C623" i="20"/>
  <c r="B623" i="20"/>
  <c r="A624" i="20"/>
  <c r="E623" i="20" a="1"/>
  <c r="D623" i="20" a="1"/>
  <c r="D623" i="20" l="1"/>
  <c r="E623" i="20"/>
  <c r="B624" i="20"/>
  <c r="A625" i="20"/>
  <c r="C624" i="20"/>
  <c r="E624" i="20" a="1"/>
  <c r="D624" i="20" a="1"/>
  <c r="D624" i="20" l="1"/>
  <c r="E624" i="20"/>
  <c r="C625" i="20"/>
  <c r="A626" i="20"/>
  <c r="B625" i="20"/>
  <c r="D625" i="20" a="1"/>
  <c r="E625" i="20" a="1"/>
  <c r="E625" i="20" l="1"/>
  <c r="D625" i="20"/>
  <c r="C626" i="20"/>
  <c r="B626" i="20"/>
  <c r="A627" i="20"/>
  <c r="D626" i="20" a="1"/>
  <c r="E626" i="20" a="1"/>
  <c r="E626" i="20" l="1"/>
  <c r="D626" i="20"/>
  <c r="A628" i="20"/>
  <c r="C627" i="20"/>
  <c r="B627" i="20"/>
  <c r="E627" i="20" a="1"/>
  <c r="D627" i="20" a="1"/>
  <c r="D627" i="20" l="1"/>
  <c r="E627" i="20"/>
  <c r="A629" i="20"/>
  <c r="B628" i="20"/>
  <c r="C628" i="20"/>
  <c r="D628" i="20" a="1"/>
  <c r="E628" i="20" a="1"/>
  <c r="E628" i="20" l="1"/>
  <c r="D628" i="20"/>
  <c r="C629" i="20"/>
  <c r="A630" i="20"/>
  <c r="B629" i="20"/>
  <c r="D629" i="20" a="1"/>
  <c r="E629" i="20" a="1"/>
  <c r="E629" i="20" l="1"/>
  <c r="D629" i="20"/>
  <c r="B630" i="20"/>
  <c r="C630" i="20"/>
  <c r="A631" i="20"/>
  <c r="D630" i="20" a="1"/>
  <c r="E630" i="20" a="1"/>
  <c r="E630" i="20" l="1"/>
  <c r="D630" i="20"/>
  <c r="B631" i="20"/>
  <c r="A632" i="20"/>
  <c r="C631" i="20"/>
  <c r="D631" i="20" a="1"/>
  <c r="E631" i="20" a="1"/>
  <c r="E631" i="20" l="1"/>
  <c r="D631" i="20"/>
  <c r="C632" i="20"/>
  <c r="B632" i="20"/>
  <c r="A633" i="20"/>
  <c r="D632" i="20" a="1"/>
  <c r="E632" i="20" a="1"/>
  <c r="E632" i="20" l="1"/>
  <c r="D632" i="20"/>
  <c r="C633" i="20"/>
  <c r="B633" i="20"/>
  <c r="A634" i="20"/>
  <c r="D633" i="20" a="1"/>
  <c r="E633" i="20" a="1"/>
  <c r="E633" i="20" l="1"/>
  <c r="D633" i="20"/>
  <c r="A635" i="20"/>
  <c r="C634" i="20"/>
  <c r="B634" i="20"/>
  <c r="E634" i="20" a="1"/>
  <c r="D634" i="20" a="1"/>
  <c r="D634" i="20" l="1"/>
  <c r="E634" i="20"/>
  <c r="B635" i="20"/>
  <c r="A636" i="20"/>
  <c r="C635" i="20"/>
  <c r="D635" i="20" a="1"/>
  <c r="E635" i="20" a="1"/>
  <c r="E635" i="20" l="1"/>
  <c r="D635" i="20"/>
  <c r="C636" i="20"/>
  <c r="B636" i="20"/>
  <c r="A637" i="20"/>
  <c r="D636" i="20" a="1"/>
  <c r="E636" i="20" a="1"/>
  <c r="E636" i="20" l="1"/>
  <c r="D636" i="20"/>
  <c r="C637" i="20"/>
  <c r="B637" i="20"/>
  <c r="A638" i="20"/>
  <c r="D637" i="20" a="1"/>
  <c r="E637" i="20" a="1"/>
  <c r="E637" i="20" l="1"/>
  <c r="D637" i="20"/>
  <c r="A639" i="20"/>
  <c r="B638" i="20"/>
  <c r="C638" i="20"/>
  <c r="D638" i="20" a="1"/>
  <c r="E638" i="20" a="1"/>
  <c r="E638" i="20" l="1"/>
  <c r="D638" i="20"/>
  <c r="B639" i="20"/>
  <c r="C639" i="20"/>
  <c r="A640" i="20"/>
  <c r="D639" i="20" a="1"/>
  <c r="E639" i="20" a="1"/>
  <c r="E639" i="20" l="1"/>
  <c r="D639" i="20"/>
  <c r="C640" i="20"/>
  <c r="B640" i="20"/>
  <c r="A641" i="20"/>
  <c r="D640" i="20" a="1"/>
  <c r="E640" i="20" a="1"/>
  <c r="E640" i="20" l="1"/>
  <c r="D640" i="20"/>
  <c r="C641" i="20"/>
  <c r="B641" i="20"/>
  <c r="A642" i="20"/>
  <c r="D641" i="20" a="1"/>
  <c r="E641" i="20" a="1"/>
  <c r="E641" i="20" l="1"/>
  <c r="D641" i="20"/>
  <c r="A643" i="20"/>
  <c r="B642" i="20"/>
  <c r="C642" i="20"/>
  <c r="D642" i="20" a="1"/>
  <c r="E642" i="20" a="1"/>
  <c r="E642" i="20" l="1"/>
  <c r="D642" i="20"/>
  <c r="B643" i="20"/>
  <c r="C643" i="20"/>
  <c r="A644" i="20"/>
  <c r="D643" i="20" a="1"/>
  <c r="E643" i="20" a="1"/>
  <c r="E643" i="20" l="1"/>
  <c r="D643" i="20"/>
  <c r="C644" i="20"/>
  <c r="B644" i="20"/>
  <c r="A645" i="20"/>
  <c r="D644" i="20" a="1"/>
  <c r="E644" i="20" a="1"/>
  <c r="E644" i="20" l="1"/>
  <c r="D644" i="20"/>
  <c r="A646" i="20"/>
  <c r="B645" i="20"/>
  <c r="C645" i="20"/>
  <c r="D645" i="20" a="1"/>
  <c r="E645" i="20" a="1"/>
  <c r="E645" i="20" l="1"/>
  <c r="D645" i="20"/>
  <c r="B646" i="20"/>
  <c r="A647" i="20"/>
  <c r="C646" i="20"/>
  <c r="D646" i="20" a="1"/>
  <c r="E646" i="20" a="1"/>
  <c r="E646" i="20" l="1"/>
  <c r="D646" i="20"/>
  <c r="C647" i="20"/>
  <c r="A648" i="20"/>
  <c r="B647" i="20"/>
  <c r="E647" i="20" a="1"/>
  <c r="D647" i="20" a="1"/>
  <c r="D647" i="20" l="1"/>
  <c r="E647" i="20"/>
  <c r="A649" i="20"/>
  <c r="B648" i="20"/>
  <c r="C648" i="20"/>
  <c r="E648" i="20" a="1"/>
  <c r="D648" i="20" a="1"/>
  <c r="D648" i="20" l="1"/>
  <c r="E648" i="20"/>
  <c r="A650" i="20"/>
  <c r="C649" i="20"/>
  <c r="B649" i="20"/>
  <c r="D649" i="20" a="1"/>
  <c r="E649" i="20" a="1"/>
  <c r="E649" i="20" l="1"/>
  <c r="D649" i="20"/>
  <c r="A651" i="20"/>
  <c r="B650" i="20"/>
  <c r="C650" i="20"/>
  <c r="E650" i="20" a="1"/>
  <c r="D650" i="20" a="1"/>
  <c r="D650" i="20" l="1"/>
  <c r="E650" i="20"/>
  <c r="B651" i="20"/>
  <c r="C651" i="20"/>
  <c r="A652" i="20"/>
  <c r="E651" i="20" a="1"/>
  <c r="D651" i="20" a="1"/>
  <c r="D651" i="20" l="1"/>
  <c r="E651" i="20"/>
  <c r="A653" i="20"/>
  <c r="C652" i="20"/>
  <c r="B652" i="20"/>
  <c r="D652" i="20" a="1"/>
  <c r="E652" i="20" a="1"/>
  <c r="E652" i="20" l="1"/>
  <c r="D652" i="20"/>
  <c r="A654" i="20"/>
  <c r="C653" i="20"/>
  <c r="B653" i="20"/>
  <c r="E653" i="20" a="1"/>
  <c r="D653" i="20" a="1"/>
  <c r="D653" i="20" l="1"/>
  <c r="E653" i="20"/>
  <c r="B654" i="20"/>
  <c r="C654" i="20"/>
  <c r="A655" i="20"/>
  <c r="D654" i="20" a="1"/>
  <c r="E654" i="20" a="1"/>
  <c r="E654" i="20" l="1"/>
  <c r="D654" i="20"/>
  <c r="C655" i="20"/>
  <c r="A656" i="20"/>
  <c r="B655" i="20"/>
  <c r="D655" i="20" a="1"/>
  <c r="E655" i="20" a="1"/>
  <c r="E655" i="20" l="1"/>
  <c r="D655" i="20"/>
  <c r="C656" i="20"/>
  <c r="B656" i="20"/>
  <c r="A657" i="20"/>
  <c r="D656" i="20" a="1"/>
  <c r="E656" i="20" a="1"/>
  <c r="E656" i="20" l="1"/>
  <c r="D656" i="20"/>
  <c r="A658" i="20"/>
  <c r="C657" i="20"/>
  <c r="B657" i="20"/>
  <c r="D657" i="20" a="1"/>
  <c r="E657" i="20" a="1"/>
  <c r="E657" i="20" l="1"/>
  <c r="D657" i="20"/>
  <c r="B658" i="20"/>
  <c r="C658" i="20"/>
  <c r="A659" i="20"/>
  <c r="D658" i="20" a="1"/>
  <c r="E658" i="20" a="1"/>
  <c r="E658" i="20" l="1"/>
  <c r="D658" i="20"/>
  <c r="C659" i="20"/>
  <c r="B659" i="20"/>
  <c r="A660" i="20"/>
  <c r="E659" i="20" a="1"/>
  <c r="D659" i="20" a="1"/>
  <c r="D659" i="20" l="1"/>
  <c r="E659" i="20"/>
  <c r="A661" i="20"/>
  <c r="C660" i="20"/>
  <c r="B660" i="20"/>
  <c r="D660" i="20" a="1"/>
  <c r="E660" i="20" a="1"/>
  <c r="E660" i="20" l="1"/>
  <c r="D660" i="20"/>
  <c r="A662" i="20"/>
  <c r="B661" i="20"/>
  <c r="C661" i="20"/>
  <c r="D661" i="20" a="1"/>
  <c r="E661" i="20" a="1"/>
  <c r="E661" i="20" l="1"/>
  <c r="D661" i="20"/>
  <c r="C662" i="20"/>
  <c r="A663" i="20"/>
  <c r="B662" i="20"/>
  <c r="E662" i="20" a="1"/>
  <c r="D662" i="20" a="1"/>
  <c r="D662" i="20" l="1"/>
  <c r="E662" i="20"/>
  <c r="A664" i="20"/>
  <c r="B663" i="20"/>
  <c r="C663" i="20"/>
  <c r="D663" i="20" a="1"/>
  <c r="E663" i="20" a="1"/>
  <c r="E663" i="20" l="1"/>
  <c r="D663" i="20"/>
  <c r="A665" i="20"/>
  <c r="B664" i="20"/>
  <c r="C664" i="20"/>
  <c r="D664" i="20" a="1"/>
  <c r="E664" i="20" a="1"/>
  <c r="E664" i="20" l="1"/>
  <c r="D664" i="20"/>
  <c r="B665" i="20"/>
  <c r="A666" i="20"/>
  <c r="C665" i="20"/>
  <c r="E665" i="20" a="1"/>
  <c r="D665" i="20" a="1"/>
  <c r="D665" i="20" l="1"/>
  <c r="E665" i="20"/>
  <c r="C666" i="20"/>
  <c r="A667" i="20"/>
  <c r="B666" i="20"/>
  <c r="D666" i="20" a="1"/>
  <c r="E666" i="20" a="1"/>
  <c r="E666" i="20" l="1"/>
  <c r="D666" i="20"/>
  <c r="C667" i="20"/>
  <c r="A668" i="20"/>
  <c r="B667" i="20"/>
  <c r="D667" i="20" a="1"/>
  <c r="E667" i="20" a="1"/>
  <c r="E667" i="20" l="1"/>
  <c r="D667" i="20"/>
  <c r="C668" i="20"/>
  <c r="A669" i="20"/>
  <c r="B668" i="20"/>
  <c r="D668" i="20" a="1"/>
  <c r="E668" i="20" a="1"/>
  <c r="E668" i="20" l="1"/>
  <c r="D668" i="20"/>
  <c r="B669" i="20"/>
  <c r="C669" i="20"/>
  <c r="A670" i="20"/>
  <c r="D669" i="20" a="1"/>
  <c r="E669" i="20" a="1"/>
  <c r="E669" i="20" l="1"/>
  <c r="D669" i="20"/>
  <c r="C670" i="20"/>
  <c r="B670" i="20"/>
  <c r="A671" i="20"/>
  <c r="E670" i="20" a="1"/>
  <c r="D670" i="20" a="1"/>
  <c r="D670" i="20" l="1"/>
  <c r="E670" i="20"/>
  <c r="A672" i="20"/>
  <c r="B671" i="20"/>
  <c r="C671" i="20"/>
  <c r="D671" i="20" a="1"/>
  <c r="E671" i="20" a="1"/>
  <c r="E671" i="20" l="1"/>
  <c r="D671" i="20"/>
  <c r="A673" i="20"/>
  <c r="B672" i="20"/>
  <c r="C672" i="20"/>
  <c r="E672" i="20" a="1"/>
  <c r="D672" i="20" a="1"/>
  <c r="D672" i="20" l="1"/>
  <c r="E672" i="20"/>
  <c r="B673" i="20"/>
  <c r="C673" i="20"/>
  <c r="A674" i="20"/>
  <c r="D673" i="20" a="1"/>
  <c r="E673" i="20" a="1"/>
  <c r="E673" i="20" l="1"/>
  <c r="D673" i="20"/>
  <c r="C674" i="20"/>
  <c r="A675" i="20"/>
  <c r="B674" i="20"/>
  <c r="E674" i="20" a="1"/>
  <c r="D674" i="20" a="1"/>
  <c r="D674" i="20" l="1"/>
  <c r="E674" i="20"/>
  <c r="C675" i="20"/>
  <c r="B675" i="20"/>
  <c r="A676" i="20"/>
  <c r="D675" i="20" a="1"/>
  <c r="E675" i="20" a="1"/>
  <c r="E675" i="20" l="1"/>
  <c r="D675" i="20"/>
  <c r="A677" i="20"/>
  <c r="B676" i="20"/>
  <c r="C676" i="20"/>
  <c r="E676" i="20" a="1"/>
  <c r="D676" i="20" a="1"/>
  <c r="D676" i="20" l="1"/>
  <c r="E676" i="20"/>
  <c r="B677" i="20"/>
  <c r="C677" i="20"/>
  <c r="A678" i="20"/>
  <c r="D677" i="20" a="1"/>
  <c r="E677" i="20" a="1"/>
  <c r="E677" i="20" l="1"/>
  <c r="D677" i="20"/>
  <c r="C678" i="20"/>
  <c r="A679" i="20"/>
  <c r="B678" i="20"/>
  <c r="D678" i="20" a="1"/>
  <c r="E678" i="20" a="1"/>
  <c r="E678" i="20" l="1"/>
  <c r="D678" i="20"/>
  <c r="A680" i="20"/>
  <c r="B679" i="20"/>
  <c r="C679" i="20"/>
  <c r="D679" i="20" a="1"/>
  <c r="E679" i="20" a="1"/>
  <c r="E679" i="20" l="1"/>
  <c r="D679" i="20"/>
  <c r="C680" i="20"/>
  <c r="A681" i="20"/>
  <c r="B680" i="20"/>
  <c r="E680" i="20" a="1"/>
  <c r="D680" i="20" a="1"/>
  <c r="D680" i="20" l="1"/>
  <c r="E680" i="20"/>
  <c r="A682" i="20"/>
  <c r="B681" i="20"/>
  <c r="C681" i="20"/>
  <c r="D681" i="20" a="1"/>
  <c r="E681" i="20" a="1"/>
  <c r="E681" i="20" l="1"/>
  <c r="D681" i="20"/>
  <c r="B682" i="20"/>
  <c r="C682" i="20"/>
  <c r="A683" i="20"/>
  <c r="D682" i="20" a="1"/>
  <c r="E682" i="20" a="1"/>
  <c r="E682" i="20" l="1"/>
  <c r="D682" i="20"/>
  <c r="A684" i="20"/>
  <c r="C683" i="20"/>
  <c r="B683" i="20"/>
  <c r="D683" i="20" a="1"/>
  <c r="E683" i="20" a="1"/>
  <c r="E683" i="20" l="1"/>
  <c r="D683" i="20"/>
  <c r="C684" i="20"/>
  <c r="A685" i="20"/>
  <c r="B684" i="20"/>
  <c r="D684" i="20" a="1"/>
  <c r="E684" i="20" a="1"/>
  <c r="E684" i="20" l="1"/>
  <c r="D684" i="20"/>
  <c r="A686" i="20"/>
  <c r="B685" i="20"/>
  <c r="C685" i="20"/>
  <c r="E685" i="20" a="1"/>
  <c r="D685" i="20" a="1"/>
  <c r="D685" i="20" l="1"/>
  <c r="E685" i="20"/>
  <c r="B686" i="20"/>
  <c r="C686" i="20"/>
  <c r="A687" i="20"/>
  <c r="E686" i="20" a="1"/>
  <c r="D686" i="20" a="1"/>
  <c r="D686" i="20" l="1"/>
  <c r="E686" i="20"/>
  <c r="C687" i="20"/>
  <c r="A688" i="20"/>
  <c r="B687" i="20"/>
  <c r="D687" i="20" a="1"/>
  <c r="E687" i="20" a="1"/>
  <c r="E687" i="20" l="1"/>
  <c r="D687" i="20"/>
  <c r="C688" i="20"/>
  <c r="A689" i="20"/>
  <c r="B688" i="20"/>
  <c r="D688" i="20" a="1"/>
  <c r="E688" i="20" a="1"/>
  <c r="E688" i="20" l="1"/>
  <c r="D688" i="20"/>
  <c r="A690" i="20"/>
  <c r="B689" i="20"/>
  <c r="C689" i="20"/>
  <c r="E689" i="20" a="1"/>
  <c r="D689" i="20" a="1"/>
  <c r="D689" i="20" l="1"/>
  <c r="E689" i="20"/>
  <c r="C690" i="20"/>
  <c r="A691" i="20"/>
  <c r="B690" i="20"/>
  <c r="D690" i="20" a="1"/>
  <c r="E690" i="20" a="1"/>
  <c r="E690" i="20" l="1"/>
  <c r="D690" i="20"/>
  <c r="A692" i="20"/>
  <c r="B691" i="20"/>
  <c r="C691" i="20"/>
  <c r="E691" i="20" a="1"/>
  <c r="D691" i="20" a="1"/>
  <c r="D691" i="20" l="1"/>
  <c r="E691" i="20"/>
  <c r="C692" i="20"/>
  <c r="A693" i="20"/>
  <c r="B692" i="20"/>
  <c r="D692" i="20" a="1"/>
  <c r="E692" i="20" a="1"/>
  <c r="E692" i="20" l="1"/>
  <c r="D692" i="20"/>
  <c r="C693" i="20"/>
  <c r="B693" i="20"/>
  <c r="A694" i="20"/>
  <c r="E693" i="20" a="1"/>
  <c r="D693" i="20" a="1"/>
  <c r="D693" i="20" l="1"/>
  <c r="E693" i="20"/>
  <c r="C694" i="20"/>
  <c r="B694" i="20"/>
  <c r="A695" i="20"/>
  <c r="D694" i="20" a="1"/>
  <c r="E694" i="20" a="1"/>
  <c r="E694" i="20" l="1"/>
  <c r="D694" i="20"/>
  <c r="A696" i="20"/>
  <c r="B695" i="20"/>
  <c r="C695" i="20"/>
  <c r="D695" i="20" a="1"/>
  <c r="E695" i="20" a="1"/>
  <c r="E695" i="20" l="1"/>
  <c r="D695" i="20"/>
  <c r="A697" i="20"/>
  <c r="B696" i="20"/>
  <c r="C696" i="20"/>
  <c r="D696" i="20" a="1"/>
  <c r="E696" i="20" a="1"/>
  <c r="E696" i="20" l="1"/>
  <c r="D696" i="20"/>
  <c r="B697" i="20"/>
  <c r="C697" i="20"/>
  <c r="A698" i="20"/>
  <c r="D697" i="20" a="1"/>
  <c r="E697" i="20" a="1"/>
  <c r="E697" i="20" l="1"/>
  <c r="D697" i="20"/>
  <c r="C698" i="20"/>
  <c r="A699" i="20"/>
  <c r="B698" i="20"/>
  <c r="E698" i="20" a="1"/>
  <c r="D698" i="20" a="1"/>
  <c r="D698" i="20" l="1"/>
  <c r="E698" i="20"/>
  <c r="C699" i="20"/>
  <c r="B699" i="20"/>
  <c r="A700" i="20"/>
  <c r="D699" i="20" a="1"/>
  <c r="E699" i="20" a="1"/>
  <c r="E699" i="20" l="1"/>
  <c r="D699" i="20"/>
  <c r="C700" i="20"/>
  <c r="A701" i="20"/>
  <c r="B700" i="20"/>
  <c r="E700" i="20" a="1"/>
  <c r="D700" i="20" a="1"/>
  <c r="D700" i="20" l="1"/>
  <c r="E700" i="20"/>
  <c r="B701" i="20"/>
  <c r="C701" i="20"/>
  <c r="A702" i="20"/>
  <c r="D701" i="20" a="1"/>
  <c r="E701" i="20" a="1"/>
  <c r="E701" i="20" l="1"/>
  <c r="D701" i="20"/>
  <c r="C702" i="20"/>
  <c r="A703" i="20"/>
  <c r="B702" i="20"/>
  <c r="E702" i="20" a="1"/>
  <c r="D702" i="20" a="1"/>
  <c r="D702" i="20" l="1"/>
  <c r="E702" i="20"/>
  <c r="C703" i="20"/>
  <c r="B703" i="20"/>
  <c r="A704" i="20"/>
  <c r="D703" i="20" a="1"/>
  <c r="E703" i="20" a="1"/>
  <c r="E703" i="20" l="1"/>
  <c r="D703" i="20"/>
  <c r="C704" i="20"/>
  <c r="B704" i="20"/>
  <c r="A705" i="20"/>
  <c r="E704" i="20" a="1"/>
  <c r="D704" i="20" a="1"/>
  <c r="D704" i="20" l="1"/>
  <c r="E704" i="20"/>
  <c r="A706" i="20"/>
  <c r="C705" i="20"/>
  <c r="B705" i="20"/>
  <c r="D705" i="20" a="1"/>
  <c r="E705" i="20" a="1"/>
  <c r="E705" i="20" l="1"/>
  <c r="D705" i="20"/>
  <c r="B706" i="20"/>
  <c r="C706" i="20"/>
  <c r="A707" i="20"/>
  <c r="E706" i="20" a="1"/>
  <c r="D706" i="20" a="1"/>
  <c r="D706" i="20" l="1"/>
  <c r="E706" i="20"/>
  <c r="A708" i="20"/>
  <c r="B707" i="20"/>
  <c r="C707" i="20"/>
  <c r="D707" i="20" a="1"/>
  <c r="E707" i="20" a="1"/>
  <c r="E707" i="20" l="1"/>
  <c r="D707" i="20"/>
  <c r="A709" i="20"/>
  <c r="B708" i="20"/>
  <c r="C708" i="20"/>
  <c r="D708" i="20" a="1"/>
  <c r="E708" i="20" a="1"/>
  <c r="E708" i="20" l="1"/>
  <c r="D708" i="20"/>
  <c r="B709" i="20"/>
  <c r="C709" i="20"/>
  <c r="A710" i="20"/>
  <c r="D709" i="20" a="1"/>
  <c r="E709" i="20" a="1"/>
  <c r="E709" i="20" l="1"/>
  <c r="D709" i="20"/>
  <c r="C710" i="20"/>
  <c r="B710" i="20"/>
  <c r="A711" i="20"/>
  <c r="D710" i="20" a="1"/>
  <c r="E710" i="20" a="1"/>
  <c r="E710" i="20" l="1"/>
  <c r="D710" i="20"/>
  <c r="A712" i="20"/>
  <c r="C711" i="20"/>
  <c r="B711" i="20"/>
  <c r="E711" i="20" a="1"/>
  <c r="D711" i="20" a="1"/>
  <c r="D711" i="20" l="1"/>
  <c r="E711" i="20"/>
  <c r="A713" i="20"/>
  <c r="B712" i="20"/>
  <c r="C712" i="20"/>
  <c r="D712" i="20" a="1"/>
  <c r="E712" i="20" a="1"/>
  <c r="E712" i="20" l="1"/>
  <c r="D712" i="20"/>
  <c r="B713" i="20"/>
  <c r="C713" i="20"/>
  <c r="A714" i="20"/>
  <c r="E713" i="20" a="1"/>
  <c r="D713" i="20" a="1"/>
  <c r="D713" i="20" l="1"/>
  <c r="E713" i="20"/>
  <c r="C714" i="20"/>
  <c r="A715" i="20"/>
  <c r="B714" i="20"/>
  <c r="D714" i="20" a="1"/>
  <c r="E714" i="20" a="1"/>
  <c r="E714" i="20" l="1"/>
  <c r="D714" i="20"/>
  <c r="C715" i="20"/>
  <c r="B715" i="20"/>
  <c r="A716" i="20"/>
  <c r="D715" i="20" a="1"/>
  <c r="E715" i="20" a="1"/>
  <c r="E715" i="20" l="1"/>
  <c r="D715" i="20"/>
  <c r="A717" i="20"/>
  <c r="C716" i="20"/>
  <c r="B716" i="20"/>
  <c r="E716" i="20" a="1"/>
  <c r="D716" i="20" a="1"/>
  <c r="D716" i="20" l="1"/>
  <c r="E716" i="20"/>
  <c r="B717" i="20"/>
  <c r="A718" i="20"/>
  <c r="C717" i="20"/>
  <c r="D717" i="20" a="1"/>
  <c r="E717" i="20" a="1"/>
  <c r="E717" i="20" l="1"/>
  <c r="D717" i="20"/>
  <c r="C718" i="20"/>
  <c r="A719" i="20"/>
  <c r="B718" i="20"/>
  <c r="D718" i="20" a="1"/>
  <c r="E718" i="20" a="1"/>
  <c r="E718" i="20" l="1"/>
  <c r="D718" i="20"/>
  <c r="A720" i="20"/>
  <c r="B719" i="20"/>
  <c r="C719" i="20"/>
  <c r="D719" i="20" a="1"/>
  <c r="E719" i="20" a="1"/>
  <c r="E719" i="20" l="1"/>
  <c r="D719" i="20"/>
  <c r="A721" i="20"/>
  <c r="C720" i="20"/>
  <c r="B720" i="20"/>
  <c r="D720" i="20" a="1"/>
  <c r="E720" i="20" a="1"/>
  <c r="E720" i="20" l="1"/>
  <c r="D720" i="20"/>
  <c r="B721" i="20"/>
  <c r="A722" i="20"/>
  <c r="C721" i="20"/>
  <c r="D721" i="20" a="1"/>
  <c r="E721" i="20" a="1"/>
  <c r="E721" i="20" l="1"/>
  <c r="D721" i="20"/>
  <c r="C722" i="20"/>
  <c r="A723" i="20"/>
  <c r="B722" i="20"/>
  <c r="E722" i="20" a="1"/>
  <c r="D722" i="20" a="1"/>
  <c r="D722" i="20" l="1"/>
  <c r="E722" i="20"/>
  <c r="C723" i="20"/>
  <c r="A724" i="20"/>
  <c r="B723" i="20"/>
  <c r="D723" i="20" a="1"/>
  <c r="E723" i="20" a="1"/>
  <c r="E723" i="20" l="1"/>
  <c r="D723" i="20"/>
  <c r="A725" i="20"/>
  <c r="C724" i="20"/>
  <c r="B724" i="20"/>
  <c r="D724" i="20" a="1"/>
  <c r="E724" i="20" a="1"/>
  <c r="E724" i="20" l="1"/>
  <c r="D724" i="20"/>
  <c r="B725" i="20"/>
  <c r="C725" i="20"/>
  <c r="A726" i="20"/>
  <c r="D725" i="20" a="1"/>
  <c r="E725" i="20" a="1"/>
  <c r="E725" i="20" l="1"/>
  <c r="D725" i="20"/>
  <c r="C726" i="20"/>
  <c r="A727" i="20"/>
  <c r="B726" i="20"/>
  <c r="D726" i="20" a="1"/>
  <c r="E726" i="20" a="1"/>
  <c r="E726" i="20" l="1"/>
  <c r="D726" i="20"/>
  <c r="C727" i="20"/>
  <c r="A728" i="20"/>
  <c r="B727" i="20"/>
  <c r="D727" i="20" a="1"/>
  <c r="E727" i="20" a="1"/>
  <c r="E727" i="20" l="1"/>
  <c r="D727" i="20"/>
  <c r="A729" i="20"/>
  <c r="B728" i="20"/>
  <c r="C728" i="20"/>
  <c r="D728" i="20" a="1"/>
  <c r="E728" i="20" a="1"/>
  <c r="E728" i="20" l="1"/>
  <c r="D728" i="20"/>
  <c r="B729" i="20"/>
  <c r="C729" i="20"/>
  <c r="A730" i="20"/>
  <c r="D729" i="20" a="1"/>
  <c r="E729" i="20" a="1"/>
  <c r="E729" i="20" l="1"/>
  <c r="D729" i="20"/>
  <c r="C730" i="20"/>
  <c r="A731" i="20"/>
  <c r="B730" i="20"/>
  <c r="D730" i="20" a="1"/>
  <c r="E730" i="20" a="1"/>
  <c r="E730" i="20" l="1"/>
  <c r="D730" i="20"/>
  <c r="A732" i="20"/>
  <c r="B731" i="20"/>
  <c r="C731" i="20"/>
  <c r="D731" i="20" a="1"/>
  <c r="E731" i="20" a="1"/>
  <c r="E731" i="20" l="1"/>
  <c r="D731" i="20"/>
  <c r="A733" i="20"/>
  <c r="B732" i="20"/>
  <c r="C732" i="20"/>
  <c r="D732" i="20" a="1"/>
  <c r="E732" i="20" a="1"/>
  <c r="E732" i="20" l="1"/>
  <c r="D732" i="20"/>
  <c r="B733" i="20"/>
  <c r="A734" i="20"/>
  <c r="C733" i="20"/>
  <c r="D733" i="20" a="1"/>
  <c r="E733" i="20" a="1"/>
  <c r="E733" i="20" l="1"/>
  <c r="D733" i="20"/>
  <c r="C734" i="20"/>
  <c r="A735" i="20"/>
  <c r="B734" i="20"/>
  <c r="D734" i="20" a="1"/>
  <c r="E734" i="20" a="1"/>
  <c r="E734" i="20" l="1"/>
  <c r="D734" i="20"/>
  <c r="A736" i="20"/>
  <c r="B735" i="20"/>
  <c r="C735" i="20"/>
  <c r="D735" i="20" a="1"/>
  <c r="E735" i="20" a="1"/>
  <c r="E735" i="20" l="1"/>
  <c r="D735" i="20"/>
  <c r="A737" i="20"/>
  <c r="B736" i="20"/>
  <c r="C736" i="20"/>
  <c r="D736" i="20" a="1"/>
  <c r="E736" i="20" a="1"/>
  <c r="E736" i="20" l="1"/>
  <c r="D736" i="20"/>
  <c r="B737" i="20"/>
  <c r="C737" i="20"/>
  <c r="A738" i="20"/>
  <c r="D737" i="20" a="1"/>
  <c r="E737" i="20" a="1"/>
  <c r="E737" i="20" l="1"/>
  <c r="D737" i="20"/>
  <c r="C738" i="20"/>
  <c r="A739" i="20"/>
  <c r="B738" i="20"/>
  <c r="E738" i="20" a="1"/>
  <c r="D738" i="20" a="1"/>
  <c r="D738" i="20" l="1"/>
  <c r="E738" i="20"/>
  <c r="A740" i="20"/>
  <c r="B739" i="20"/>
  <c r="C739" i="20"/>
  <c r="D739" i="20" a="1"/>
  <c r="E739" i="20" a="1"/>
  <c r="E739" i="20" l="1"/>
  <c r="D739" i="20"/>
  <c r="A741" i="20"/>
  <c r="B740" i="20"/>
  <c r="C740" i="20"/>
  <c r="D740" i="20" a="1"/>
  <c r="E740" i="20" a="1"/>
  <c r="E740" i="20" l="1"/>
  <c r="D740" i="20"/>
  <c r="A742" i="20"/>
  <c r="B741" i="20"/>
  <c r="C741" i="20"/>
  <c r="D741" i="20" a="1"/>
  <c r="E741" i="20" a="1"/>
  <c r="E741" i="20" l="1"/>
  <c r="D741" i="20"/>
  <c r="C742" i="20"/>
  <c r="A743" i="20"/>
  <c r="B742" i="20"/>
  <c r="D742" i="20" a="1"/>
  <c r="E742" i="20" a="1"/>
  <c r="E742" i="20" l="1"/>
  <c r="D742" i="20"/>
  <c r="A744" i="20"/>
  <c r="B743" i="20"/>
  <c r="C743" i="20"/>
  <c r="D743" i="20" a="1"/>
  <c r="E743" i="20" a="1"/>
  <c r="E743" i="20" l="1"/>
  <c r="D743" i="20"/>
  <c r="C744" i="20"/>
  <c r="B744" i="20"/>
  <c r="A745" i="20"/>
  <c r="D744" i="20" a="1"/>
  <c r="E744" i="20" a="1"/>
  <c r="E744" i="20" l="1"/>
  <c r="D744" i="20"/>
  <c r="B745" i="20"/>
  <c r="C745" i="20"/>
  <c r="A746" i="20"/>
  <c r="E745" i="20" a="1"/>
  <c r="D745" i="20" a="1"/>
  <c r="D745" i="20" l="1"/>
  <c r="E745" i="20"/>
  <c r="C746" i="20"/>
  <c r="A747" i="20"/>
  <c r="B746" i="20"/>
  <c r="E746" i="20" a="1"/>
  <c r="D746" i="20" a="1"/>
  <c r="D746" i="20" l="1"/>
  <c r="E746" i="20"/>
  <c r="A748" i="20"/>
  <c r="B747" i="20"/>
  <c r="C747" i="20"/>
  <c r="D747" i="20" a="1"/>
  <c r="E747" i="20" a="1"/>
  <c r="E747" i="20" l="1"/>
  <c r="D747" i="20"/>
  <c r="A749" i="20"/>
  <c r="B748" i="20"/>
  <c r="C748" i="20"/>
  <c r="E748" i="20" a="1"/>
  <c r="D748" i="20" a="1"/>
  <c r="D748" i="20" l="1"/>
  <c r="E748" i="20"/>
  <c r="B749" i="20"/>
  <c r="C749" i="20"/>
  <c r="A750" i="20"/>
  <c r="E749" i="20" a="1"/>
  <c r="D749" i="20" a="1"/>
  <c r="D749" i="20" l="1"/>
  <c r="E749" i="20"/>
  <c r="C750" i="20"/>
  <c r="A751" i="20"/>
  <c r="B750" i="20"/>
  <c r="E750" i="20" a="1"/>
  <c r="D750" i="20" a="1"/>
  <c r="D750" i="20" l="1"/>
  <c r="E750" i="20"/>
  <c r="A752" i="20"/>
  <c r="B751" i="20"/>
  <c r="C751" i="20"/>
  <c r="D751" i="20" a="1"/>
  <c r="E751" i="20" a="1"/>
  <c r="E751" i="20" l="1"/>
  <c r="D751" i="20"/>
  <c r="A753" i="20"/>
  <c r="B752" i="20"/>
  <c r="C752" i="20"/>
  <c r="E752" i="20" a="1"/>
  <c r="D752" i="20" a="1"/>
  <c r="D752" i="20" l="1"/>
  <c r="E752" i="20"/>
  <c r="A754" i="20"/>
  <c r="B753" i="20"/>
  <c r="C753" i="20"/>
  <c r="D753" i="20" a="1"/>
  <c r="E753" i="20" a="1"/>
  <c r="E753" i="20" l="1"/>
  <c r="D753" i="20"/>
  <c r="C754" i="20"/>
  <c r="A755" i="20"/>
  <c r="B754" i="20"/>
  <c r="D754" i="20" a="1"/>
  <c r="E754" i="20" a="1"/>
  <c r="E754" i="20" l="1"/>
  <c r="D754" i="20"/>
  <c r="A756" i="20"/>
  <c r="C755" i="20"/>
  <c r="B755" i="20"/>
  <c r="D755" i="20" a="1"/>
  <c r="E755" i="20" a="1"/>
  <c r="E755" i="20" l="1"/>
  <c r="D755" i="20"/>
  <c r="A757" i="20"/>
  <c r="B756" i="20"/>
  <c r="C756" i="20"/>
  <c r="E756" i="20" a="1"/>
  <c r="D756" i="20" a="1"/>
  <c r="D756" i="20" l="1"/>
  <c r="E756" i="20"/>
  <c r="B757" i="20"/>
  <c r="A758" i="20"/>
  <c r="C757" i="20"/>
  <c r="D757" i="20" a="1"/>
  <c r="E757" i="20" a="1"/>
  <c r="E757" i="20" l="1"/>
  <c r="D757" i="20"/>
  <c r="C758" i="20"/>
  <c r="A759" i="20"/>
  <c r="B758" i="20"/>
  <c r="D758" i="20" a="1"/>
  <c r="E758" i="20" a="1"/>
  <c r="E758" i="20" l="1"/>
  <c r="D758" i="20"/>
  <c r="A760" i="20"/>
  <c r="B759" i="20"/>
  <c r="C759" i="20"/>
  <c r="D759" i="20" a="1"/>
  <c r="E759" i="20" a="1"/>
  <c r="E759" i="20" l="1"/>
  <c r="D759" i="20"/>
  <c r="A761" i="20"/>
  <c r="B760" i="20"/>
  <c r="C760" i="20"/>
  <c r="D760" i="20" a="1"/>
  <c r="E760" i="20" a="1"/>
  <c r="E760" i="20" l="1"/>
  <c r="D760" i="20"/>
  <c r="B761" i="20"/>
  <c r="A762" i="20"/>
  <c r="C761" i="20"/>
  <c r="D761" i="20" a="1"/>
  <c r="E761" i="20" a="1"/>
  <c r="E761" i="20" l="1"/>
  <c r="D761" i="20"/>
  <c r="C762" i="20"/>
  <c r="A763" i="20"/>
  <c r="B762" i="20"/>
  <c r="D762" i="20" a="1"/>
  <c r="E762" i="20" a="1"/>
  <c r="E762" i="20" l="1"/>
  <c r="D762" i="20"/>
  <c r="A764" i="20"/>
  <c r="C763" i="20"/>
  <c r="B763" i="20"/>
  <c r="E763" i="20" a="1"/>
  <c r="D763" i="20" a="1"/>
  <c r="D763" i="20" l="1"/>
  <c r="E763" i="20"/>
  <c r="A765" i="20"/>
  <c r="B764" i="20"/>
  <c r="C764" i="20"/>
  <c r="E764" i="20" a="1"/>
  <c r="D764" i="20" a="1"/>
  <c r="D764" i="20" l="1"/>
  <c r="E764" i="20"/>
  <c r="B765" i="20"/>
  <c r="C765" i="20"/>
  <c r="A766" i="20"/>
  <c r="D765" i="20" a="1"/>
  <c r="E765" i="20" a="1"/>
  <c r="E765" i="20" l="1"/>
  <c r="D765" i="20"/>
  <c r="B766" i="20"/>
  <c r="A767" i="20"/>
  <c r="C766" i="20"/>
  <c r="E766" i="20" a="1"/>
  <c r="D766" i="20" a="1"/>
  <c r="D766" i="20" l="1"/>
  <c r="E766" i="20"/>
  <c r="C767" i="20"/>
  <c r="A768" i="20"/>
  <c r="B767" i="20"/>
  <c r="D767" i="20" a="1"/>
  <c r="E767" i="20" a="1"/>
  <c r="E767" i="20" l="1"/>
  <c r="D767" i="20"/>
  <c r="A769" i="20"/>
  <c r="B768" i="20"/>
  <c r="C768" i="20"/>
  <c r="E768" i="20" a="1"/>
  <c r="D768" i="20" a="1"/>
  <c r="D768" i="20" l="1"/>
  <c r="E768" i="20"/>
  <c r="B769" i="20"/>
  <c r="C769" i="20"/>
  <c r="A770" i="20"/>
  <c r="D769" i="20" a="1"/>
  <c r="E769" i="20" a="1"/>
  <c r="E769" i="20" l="1"/>
  <c r="D769" i="20"/>
  <c r="C770" i="20"/>
  <c r="A771" i="20"/>
  <c r="B770" i="20"/>
  <c r="E770" i="20" a="1"/>
  <c r="D770" i="20" a="1"/>
  <c r="D770" i="20" l="1"/>
  <c r="E770" i="20"/>
  <c r="A772" i="20"/>
  <c r="C771" i="20"/>
  <c r="B771" i="20"/>
  <c r="D771" i="20" a="1"/>
  <c r="E771" i="20" a="1"/>
  <c r="E771" i="20" l="1"/>
  <c r="D771" i="20"/>
  <c r="A773" i="20"/>
  <c r="B772" i="20"/>
  <c r="C772" i="20"/>
  <c r="E772" i="20" a="1"/>
  <c r="D772" i="20" a="1"/>
  <c r="D772" i="20" l="1"/>
  <c r="E772" i="20"/>
  <c r="B773" i="20"/>
  <c r="C773" i="20"/>
  <c r="A774" i="20"/>
  <c r="E773" i="20" a="1"/>
  <c r="D773" i="20" a="1"/>
  <c r="D773" i="20" l="1"/>
  <c r="E773" i="20"/>
  <c r="C774" i="20"/>
  <c r="B774" i="20"/>
  <c r="A775" i="20"/>
  <c r="E774" i="20" a="1"/>
  <c r="D774" i="20" a="1"/>
  <c r="D774" i="20" l="1"/>
  <c r="E774" i="20"/>
  <c r="A776" i="20"/>
  <c r="C775" i="20"/>
  <c r="B775" i="20"/>
  <c r="E775" i="20" a="1"/>
  <c r="D775" i="20" a="1"/>
  <c r="D775" i="20" l="1"/>
  <c r="E775" i="20"/>
  <c r="A777" i="20"/>
  <c r="B776" i="20"/>
  <c r="C776" i="20"/>
  <c r="D776" i="20" a="1"/>
  <c r="E776" i="20" a="1"/>
  <c r="E776" i="20" l="1"/>
  <c r="D776" i="20"/>
  <c r="B777" i="20"/>
  <c r="A778" i="20"/>
  <c r="C777" i="20"/>
  <c r="D777" i="20" a="1"/>
  <c r="E777" i="20" a="1"/>
  <c r="E777" i="20" l="1"/>
  <c r="D777" i="20"/>
  <c r="B778" i="20"/>
  <c r="C778" i="20"/>
  <c r="A779" i="20"/>
  <c r="D778" i="20" a="1"/>
  <c r="E778" i="20" a="1"/>
  <c r="E778" i="20" l="1"/>
  <c r="D778" i="20"/>
  <c r="A780" i="20"/>
  <c r="B779" i="20"/>
  <c r="C779" i="20"/>
  <c r="D779" i="20" a="1"/>
  <c r="E779" i="20" a="1"/>
  <c r="E779" i="20" l="1"/>
  <c r="D779" i="20"/>
  <c r="A781" i="20"/>
  <c r="B780" i="20"/>
  <c r="C780" i="20"/>
  <c r="E780" i="20" a="1"/>
  <c r="D780" i="20" a="1"/>
  <c r="D780" i="20" l="1"/>
  <c r="E780" i="20"/>
  <c r="B781" i="20"/>
  <c r="C781" i="20"/>
  <c r="A782" i="20"/>
  <c r="D781" i="20" a="1"/>
  <c r="E781" i="20" a="1"/>
  <c r="E781" i="20" l="1"/>
  <c r="D781" i="20"/>
  <c r="C782" i="20"/>
  <c r="A783" i="20"/>
  <c r="B782" i="20"/>
  <c r="D782" i="20" a="1"/>
  <c r="E782" i="20" a="1"/>
  <c r="E782" i="20" l="1"/>
  <c r="D782" i="20"/>
  <c r="C783" i="20"/>
  <c r="A784" i="20"/>
  <c r="B783" i="20"/>
  <c r="D783" i="20" a="1"/>
  <c r="E783" i="20" a="1"/>
  <c r="E783" i="20" l="1"/>
  <c r="D783" i="20"/>
  <c r="C784" i="20"/>
  <c r="A785" i="20"/>
  <c r="B784" i="20"/>
  <c r="E784" i="20" a="1"/>
  <c r="D784" i="20" a="1"/>
  <c r="D784" i="20" l="1"/>
  <c r="E784" i="20"/>
  <c r="B785" i="20"/>
  <c r="A786" i="20"/>
  <c r="C785" i="20"/>
  <c r="D785" i="20" a="1"/>
  <c r="E785" i="20" a="1"/>
  <c r="E785" i="20" l="1"/>
  <c r="D785" i="20"/>
  <c r="C786" i="20"/>
  <c r="B786" i="20"/>
  <c r="A787" i="20"/>
  <c r="D786" i="20" a="1"/>
  <c r="E786" i="20" a="1"/>
  <c r="E786" i="20" l="1"/>
  <c r="D786" i="20"/>
  <c r="A788" i="20"/>
  <c r="C787" i="20"/>
  <c r="B787" i="20"/>
  <c r="D787" i="20" a="1"/>
  <c r="E787" i="20" a="1"/>
  <c r="E787" i="20" l="1"/>
  <c r="D787" i="20"/>
  <c r="A789" i="20"/>
  <c r="B788" i="20"/>
  <c r="C788" i="20"/>
  <c r="D788" i="20" a="1"/>
  <c r="E788" i="20" a="1"/>
  <c r="E788" i="20" l="1"/>
  <c r="D788" i="20"/>
  <c r="A790" i="20"/>
  <c r="B789" i="20"/>
  <c r="C789" i="20"/>
  <c r="D789" i="20" a="1"/>
  <c r="E789" i="20" a="1"/>
  <c r="E789" i="20" l="1"/>
  <c r="D789" i="20"/>
  <c r="C790" i="20"/>
  <c r="B790" i="20"/>
  <c r="A791" i="20"/>
  <c r="D790" i="20" a="1"/>
  <c r="E790" i="20" a="1"/>
  <c r="E790" i="20" l="1"/>
  <c r="D790" i="20"/>
  <c r="A792" i="20"/>
  <c r="C791" i="20"/>
  <c r="B791" i="20"/>
  <c r="D791" i="20" a="1"/>
  <c r="E791" i="20" a="1"/>
  <c r="E791" i="20" l="1"/>
  <c r="D791" i="20"/>
  <c r="A793" i="20"/>
  <c r="B792" i="20"/>
  <c r="C792" i="20"/>
  <c r="E792" i="20" a="1"/>
  <c r="D792" i="20" a="1"/>
  <c r="D792" i="20" l="1"/>
  <c r="E792" i="20"/>
  <c r="B793" i="20"/>
  <c r="A794" i="20"/>
  <c r="C793" i="20"/>
  <c r="D793" i="20" a="1"/>
  <c r="E793" i="20" a="1"/>
  <c r="E793" i="20" l="1"/>
  <c r="D793" i="20"/>
  <c r="C794" i="20"/>
  <c r="B794" i="20"/>
  <c r="A795" i="20"/>
  <c r="E794" i="20" a="1"/>
  <c r="D794" i="20" a="1"/>
  <c r="D794" i="20" l="1"/>
  <c r="E794" i="20"/>
  <c r="A796" i="20"/>
  <c r="B795" i="20"/>
  <c r="C795" i="20"/>
  <c r="D795" i="20" a="1"/>
  <c r="E795" i="20" a="1"/>
  <c r="E795" i="20" l="1"/>
  <c r="D795" i="20"/>
  <c r="A797" i="20"/>
  <c r="B796" i="20"/>
  <c r="C796" i="20"/>
  <c r="D796" i="20" a="1"/>
  <c r="E796" i="20" a="1"/>
  <c r="E796" i="20" l="1"/>
  <c r="D796" i="20"/>
  <c r="B797" i="20"/>
  <c r="C797" i="20"/>
  <c r="A798" i="20"/>
  <c r="D797" i="20" a="1"/>
  <c r="E797" i="20" a="1"/>
  <c r="E797" i="20" l="1"/>
  <c r="D797" i="20"/>
  <c r="C798" i="20"/>
  <c r="A799" i="20"/>
  <c r="B798" i="20"/>
  <c r="D798" i="20" a="1"/>
  <c r="E798" i="20" a="1"/>
  <c r="E798" i="20" l="1"/>
  <c r="D798" i="20"/>
  <c r="A800" i="20"/>
  <c r="B799" i="20"/>
  <c r="C799" i="20"/>
  <c r="E799" i="20" a="1"/>
  <c r="D799" i="20" a="1"/>
  <c r="D799" i="20" l="1"/>
  <c r="E799" i="20"/>
  <c r="C800" i="20"/>
  <c r="B800" i="20"/>
  <c r="A801" i="20"/>
  <c r="E800" i="20" a="1"/>
  <c r="D800" i="20" a="1"/>
  <c r="D800" i="20" l="1"/>
  <c r="E800" i="20"/>
  <c r="A802" i="20"/>
  <c r="B801" i="20"/>
  <c r="C801" i="20"/>
  <c r="D801" i="20" a="1"/>
  <c r="E801" i="20" a="1"/>
  <c r="E801" i="20" l="1"/>
  <c r="D801" i="20"/>
  <c r="B802" i="20"/>
  <c r="A803" i="20"/>
  <c r="C802" i="20"/>
  <c r="D802" i="20" a="1"/>
  <c r="E802" i="20" a="1"/>
  <c r="E802" i="20" l="1"/>
  <c r="D802" i="20"/>
  <c r="A804" i="20"/>
  <c r="C803" i="20"/>
  <c r="B803" i="20"/>
  <c r="E803" i="20" a="1"/>
  <c r="D803" i="20" a="1"/>
  <c r="D803" i="20" l="1"/>
  <c r="E803" i="20"/>
  <c r="C804" i="20"/>
  <c r="B804" i="20"/>
  <c r="A805" i="20"/>
  <c r="D804" i="20" a="1"/>
  <c r="E804" i="20" a="1"/>
  <c r="E804" i="20" l="1"/>
  <c r="D804" i="20"/>
  <c r="B805" i="20"/>
  <c r="A806" i="20"/>
  <c r="C805" i="20"/>
  <c r="D805" i="20" a="1"/>
  <c r="E805" i="20" a="1"/>
  <c r="E805" i="20" l="1"/>
  <c r="D805" i="20"/>
  <c r="B806" i="20"/>
  <c r="A807" i="20"/>
  <c r="C806" i="20"/>
  <c r="D806" i="20" a="1"/>
  <c r="E806" i="20" a="1"/>
  <c r="E806" i="20" l="1"/>
  <c r="D806" i="20"/>
  <c r="B807" i="20"/>
  <c r="C807" i="20"/>
  <c r="A808" i="20"/>
  <c r="E807" i="20" a="1"/>
  <c r="D807" i="20" a="1"/>
  <c r="D807" i="20" l="1"/>
  <c r="E807" i="20"/>
  <c r="C808" i="20"/>
  <c r="B808" i="20"/>
  <c r="A809" i="20"/>
  <c r="E808" i="20" a="1"/>
  <c r="D808" i="20" a="1"/>
  <c r="D808" i="20" l="1"/>
  <c r="E808" i="20"/>
  <c r="B809" i="20"/>
  <c r="C809" i="20"/>
  <c r="A810" i="20"/>
  <c r="D809" i="20" a="1"/>
  <c r="E809" i="20" a="1"/>
  <c r="E809" i="20" l="1"/>
  <c r="D809" i="20"/>
  <c r="C810" i="20"/>
  <c r="A811" i="20"/>
  <c r="B810" i="20"/>
  <c r="D810" i="20" a="1"/>
  <c r="E810" i="20" a="1"/>
  <c r="E810" i="20" l="1"/>
  <c r="D810" i="20"/>
  <c r="A812" i="20"/>
  <c r="C811" i="20"/>
  <c r="B811" i="20"/>
  <c r="E811" i="20" a="1"/>
  <c r="D811" i="20" a="1"/>
  <c r="D811" i="20" l="1"/>
  <c r="E811" i="20"/>
  <c r="C812" i="20"/>
  <c r="B812" i="20"/>
  <c r="A813" i="20"/>
  <c r="D812" i="20" a="1"/>
  <c r="E812" i="20" a="1"/>
  <c r="E812" i="20" l="1"/>
  <c r="D812" i="20"/>
  <c r="B813" i="20"/>
  <c r="C813" i="20"/>
  <c r="A814" i="20"/>
  <c r="E813" i="20" a="1"/>
  <c r="D813" i="20" a="1"/>
  <c r="D813" i="20" l="1"/>
  <c r="E813" i="20"/>
  <c r="C814" i="20"/>
  <c r="B814" i="20"/>
  <c r="A815" i="20"/>
  <c r="D814" i="20" a="1"/>
  <c r="E814" i="20" a="1"/>
  <c r="E814" i="20" l="1"/>
  <c r="D814" i="20"/>
  <c r="B815" i="20"/>
  <c r="C815" i="20"/>
  <c r="A816" i="20"/>
  <c r="E815" i="20" a="1"/>
  <c r="D815" i="20" a="1"/>
  <c r="D815" i="20" l="1"/>
  <c r="E815" i="20"/>
  <c r="C816" i="20"/>
  <c r="B816" i="20"/>
  <c r="A817" i="20"/>
  <c r="E816" i="20" a="1"/>
  <c r="D816" i="20" a="1"/>
  <c r="D816" i="20" l="1"/>
  <c r="E816" i="20"/>
  <c r="A818" i="20"/>
  <c r="B817" i="20"/>
  <c r="C817" i="20"/>
  <c r="E817" i="20" a="1"/>
  <c r="D817" i="20" a="1"/>
  <c r="D817" i="20" l="1"/>
  <c r="E817" i="20"/>
  <c r="B818" i="20"/>
  <c r="C818" i="20"/>
  <c r="A819" i="20"/>
  <c r="E818" i="20" a="1"/>
  <c r="D818" i="20" a="1"/>
  <c r="D818" i="20" l="1"/>
  <c r="E818" i="20"/>
  <c r="A820" i="20"/>
  <c r="C819" i="20"/>
  <c r="B819" i="20"/>
  <c r="E819" i="20" a="1"/>
  <c r="D819" i="20" a="1"/>
  <c r="D819" i="20" l="1"/>
  <c r="E819" i="20"/>
  <c r="C820" i="20"/>
  <c r="B820" i="20"/>
  <c r="A821" i="20"/>
  <c r="D820" i="20" a="1"/>
  <c r="E820" i="20" a="1"/>
  <c r="E820" i="20" l="1"/>
  <c r="D820" i="20"/>
  <c r="B821" i="20"/>
  <c r="A822" i="20"/>
  <c r="C821" i="20"/>
  <c r="D821" i="20" a="1"/>
  <c r="E821" i="20" a="1"/>
  <c r="E821" i="20" l="1"/>
  <c r="D821" i="20"/>
  <c r="C822" i="20"/>
  <c r="A823" i="20"/>
  <c r="B822" i="20"/>
  <c r="E822" i="20" a="1"/>
  <c r="D822" i="20" a="1"/>
  <c r="D822" i="20" l="1"/>
  <c r="E822" i="20"/>
  <c r="B823" i="20"/>
  <c r="C823" i="20"/>
  <c r="A824" i="20"/>
  <c r="D823" i="20" a="1"/>
  <c r="E823" i="20" a="1"/>
  <c r="E823" i="20" l="1"/>
  <c r="D823" i="20"/>
  <c r="C824" i="20"/>
  <c r="B824" i="20"/>
  <c r="A825" i="20"/>
  <c r="D824" i="20" a="1"/>
  <c r="E824" i="20" a="1"/>
  <c r="E824" i="20" l="1"/>
  <c r="D824" i="20"/>
  <c r="B825" i="20"/>
  <c r="C825" i="20"/>
  <c r="A826" i="20"/>
  <c r="D825" i="20" a="1"/>
  <c r="E825" i="20" a="1"/>
  <c r="E825" i="20" l="1"/>
  <c r="D825" i="20"/>
  <c r="C826" i="20"/>
  <c r="B826" i="20"/>
  <c r="A827" i="20"/>
  <c r="D826" i="20" a="1"/>
  <c r="E826" i="20" a="1"/>
  <c r="E826" i="20" l="1"/>
  <c r="D826" i="20"/>
  <c r="A828" i="20"/>
  <c r="C827" i="20"/>
  <c r="B827" i="20"/>
  <c r="D827" i="20" a="1"/>
  <c r="E827" i="20" a="1"/>
  <c r="E827" i="20" l="1"/>
  <c r="D827" i="20"/>
  <c r="C828" i="20"/>
  <c r="B828" i="20"/>
  <c r="A829" i="20"/>
  <c r="D828" i="20" a="1"/>
  <c r="E828" i="20" a="1"/>
  <c r="E828" i="20" l="1"/>
  <c r="D828" i="20"/>
  <c r="B829" i="20"/>
  <c r="A830" i="20"/>
  <c r="C829" i="20"/>
  <c r="E829" i="20" a="1"/>
  <c r="D829" i="20" a="1"/>
  <c r="D829" i="20" l="1"/>
  <c r="E829" i="20"/>
  <c r="C830" i="20"/>
  <c r="A831" i="20"/>
  <c r="B830" i="20"/>
  <c r="E830" i="20" a="1"/>
  <c r="D830" i="20" a="1"/>
  <c r="D830" i="20" l="1"/>
  <c r="E830" i="20"/>
  <c r="A832" i="20"/>
  <c r="C831" i="20"/>
  <c r="B831" i="20"/>
  <c r="D831" i="20" a="1"/>
  <c r="E831" i="20" a="1"/>
  <c r="E831" i="20" l="1"/>
  <c r="D831" i="20"/>
  <c r="C832" i="20"/>
  <c r="B832" i="20"/>
  <c r="A833" i="20"/>
  <c r="E832" i="20" a="1"/>
  <c r="D832" i="20" a="1"/>
  <c r="D832" i="20" l="1"/>
  <c r="E832" i="20"/>
  <c r="B833" i="20"/>
  <c r="C833" i="20"/>
  <c r="A834" i="20"/>
  <c r="D833" i="20" a="1"/>
  <c r="E833" i="20" a="1"/>
  <c r="E833" i="20" l="1"/>
  <c r="D833" i="20"/>
  <c r="C834" i="20"/>
  <c r="A835" i="20"/>
  <c r="B834" i="20"/>
  <c r="D834" i="20" a="1"/>
  <c r="E834" i="20" a="1"/>
  <c r="E834" i="20" l="1"/>
  <c r="D834" i="20"/>
  <c r="B835" i="20"/>
  <c r="A836" i="20"/>
  <c r="C835" i="20"/>
  <c r="D835" i="20" a="1"/>
  <c r="E835" i="20" a="1"/>
  <c r="E835" i="20" l="1"/>
  <c r="D835" i="20"/>
  <c r="C836" i="20"/>
  <c r="A837" i="20"/>
  <c r="B836" i="20"/>
  <c r="E836" i="20" a="1"/>
  <c r="D836" i="20" a="1"/>
  <c r="D836" i="20" l="1"/>
  <c r="E836" i="20"/>
  <c r="B837" i="20"/>
  <c r="C837" i="20"/>
  <c r="A838" i="20"/>
  <c r="D837" i="20" a="1"/>
  <c r="E837" i="20" a="1"/>
  <c r="E837" i="20" l="1"/>
  <c r="D837" i="20"/>
  <c r="B838" i="20"/>
  <c r="A839" i="20"/>
  <c r="C838" i="20"/>
  <c r="D838" i="20" a="1"/>
  <c r="E838" i="20" a="1"/>
  <c r="E838" i="20" l="1"/>
  <c r="D838" i="20"/>
  <c r="A840" i="20"/>
  <c r="C839" i="20"/>
  <c r="B839" i="20"/>
  <c r="E839" i="20" a="1"/>
  <c r="D839" i="20" a="1"/>
  <c r="D839" i="20" l="1"/>
  <c r="E839" i="20"/>
  <c r="A841" i="20"/>
  <c r="B840" i="20"/>
  <c r="C840" i="20"/>
  <c r="D840" i="20" a="1"/>
  <c r="E840" i="20" a="1"/>
  <c r="E840" i="20" l="1"/>
  <c r="D840" i="20"/>
  <c r="B841" i="20"/>
  <c r="C841" i="20"/>
  <c r="E841" i="20" a="1"/>
  <c r="D841" i="20" a="1"/>
  <c r="D841" i="20" l="1"/>
  <c r="E841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<sst xmlns="http://schemas.openxmlformats.org/spreadsheetml/2006/main" count="50" uniqueCount="45">
  <si>
    <t>Aktivitet</t>
  </si>
  <si>
    <t>Overføring</t>
  </si>
  <si>
    <t>Mandag</t>
  </si>
  <si>
    <t>Tirsdag</t>
  </si>
  <si>
    <t>Onsdag</t>
  </si>
  <si>
    <t>Torsdag</t>
  </si>
  <si>
    <t>Fredag</t>
  </si>
  <si>
    <t>Lørdag</t>
  </si>
  <si>
    <t>Søndag</t>
  </si>
  <si>
    <t>Uke</t>
  </si>
  <si>
    <t>Sum</t>
  </si>
  <si>
    <t>Antall</t>
  </si>
  <si>
    <t>År</t>
  </si>
  <si>
    <t>#Linje</t>
  </si>
  <si>
    <t>Dato</t>
  </si>
  <si>
    <t>Start</t>
  </si>
  <si>
    <t>Overøring</t>
  </si>
  <si>
    <t>Inn</t>
  </si>
  <si>
    <t>Ut</t>
  </si>
  <si>
    <t>#Dag</t>
  </si>
  <si>
    <t>#Dagaktivitet</t>
  </si>
  <si>
    <t>#Aktivitet</t>
  </si>
  <si>
    <t>Timer</t>
  </si>
  <si>
    <t>Lunsj?</t>
  </si>
  <si>
    <t>8 min?</t>
  </si>
  <si>
    <t>OVT</t>
  </si>
  <si>
    <t>Addition</t>
  </si>
  <si>
    <t>OVT?</t>
  </si>
  <si>
    <t>Legg til 8 min?</t>
  </si>
  <si>
    <t>PhD</t>
  </si>
  <si>
    <t>NOR/400748/000T001</t>
  </si>
  <si>
    <t>NOR/942013/0000005</t>
  </si>
  <si>
    <t>Integrasjon AKSO</t>
  </si>
  <si>
    <t>Tekna</t>
  </si>
  <si>
    <t>NOR/942013/0004</t>
  </si>
  <si>
    <t>NOR/400773/700005</t>
  </si>
  <si>
    <t>Hydrotrol</t>
  </si>
  <si>
    <t>Avdeling</t>
  </si>
  <si>
    <t>NOR/Home</t>
  </si>
  <si>
    <t>#</t>
  </si>
  <si>
    <t>#uke</t>
  </si>
  <si>
    <t>#linje</t>
  </si>
  <si>
    <t>Vacation</t>
  </si>
  <si>
    <t>Personal Illness</t>
  </si>
  <si>
    <t>Personal Buisiness -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</si>
</sst>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\ mmm"/>
    <numFmt numFmtId="165" formatCode="hh:mm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2" fontId="0" fillId="4" borderId="0" xfId="0" applyNumberFormat="1" applyFill="1"/>
    <xf numFmtId="1" fontId="0" fillId="0" borderId="0" xfId="0" applyNumberFormat="1"/>
    <xf numFmtId="14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20" fontId="0" fillId="3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0" borderId="1" xfId="0" applyFont="1" applyBorder="1"/>
    <xf numFmtId="2" fontId="0" fillId="0" borderId="0" xfId="0" applyNumberFormat="1"/>
    <xf numFmtId="0" fontId="0" fillId="5" borderId="0" xfId="0" applyFill="1"/>
  </cellXfs>
  <cellStyles count="1">
    <cellStyle name="Normal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133350</xdr:rowOff>
        </xdr:from>
        <xdr:to>
          <xdr:col>8</xdr:col>
          <xdr:colOff>28575</xdr:colOff>
          <xdr:row>2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uke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BB50-F8BA-482E-AD8E-1024952592DC}">
  <sheetPr codeName="Sheet7"/>
  <dimension ref="A1:E2137"/>
  <sheetViews>
    <sheetView showGridLines="0" workbookViewId="0">
      <selection activeCell="D20" sqref="D20"/>
    </sheetView>
  </sheetViews>
  <sheetFormatPr defaultRowHeight="15" x14ac:dyDescent="0.25"/>
  <cols>
    <col min="4" max="4" width="36.5703125" bestFit="1" customWidth="1"/>
  </cols>
  <sheetData>
    <row r="1" spans="1:5" x14ac:dyDescent="0.25">
      <c r="A1" s="19" t="s">
        <v>39</v>
      </c>
      <c r="B1" s="19" t="s">
        <v>40</v>
      </c>
      <c r="C1" s="19" t="s">
        <v>41</v>
      </c>
      <c r="D1" s="19" t="s">
        <v>1</v>
      </c>
      <c r="E1" s="19" t="s">
        <v>22</v>
      </c>
    </row>
    <row r="2" spans="1:5" x14ac:dyDescent="0.25">
      <c r="A2" s="21">
        <f>17*140+1</f>
        <v>2381</v>
      </c>
      <c r="B2">
        <f>INT((A2-1)/140)+1</f>
        <v>18</v>
      </c>
      <c r="C2">
        <f>MOD(A2-1,140)+1</f>
        <v>1</v>
      </c>
      <c r="D2" t="str" cm="1">
        <f t="array" aca="1" ref="D2" ca="1">INDIRECT("'Uke "&amp;B2&amp;"'!V"&amp;9+C2)</f>
        <v>NOR/400748/000T001</v>
      </c>
      <c r="E2" s="20" cm="1">
        <f t="array" aca="1" ref="E2" ca="1">INDIRECT("'Uke "&amp;B2&amp;"'!AB"&amp;9+C2)</f>
        <v>7.5</v>
      </c>
    </row>
    <row r="3" spans="1:5" x14ac:dyDescent="0.25">
      <c r="A3">
        <f>A2+1</f>
        <v>2382</v>
      </c>
      <c r="B3">
        <f t="shared" ref="B3:B66" si="0">INT((A3-1)/140)+1</f>
        <v>18</v>
      </c>
      <c r="C3">
        <f t="shared" ref="C3:C66" si="1">MOD(A3-1,140)+1</f>
        <v>2</v>
      </c>
      <c r="D3" t="str" cm="1">
        <f t="array" aca="1" ref="D3" ca="1">INDIRECT("'Uke "&amp;B3&amp;"'!V"&amp;9+C3)</f>
        <v>NOR/400748/000T001</v>
      </c>
      <c r="E3" s="20" cm="1">
        <f t="array" aca="1" ref="E3" ca="1">INDIRECT("'Uke "&amp;B3&amp;"'!AB"&amp;9+C3)</f>
        <v>7.5</v>
      </c>
    </row>
    <row r="4" spans="1:5" x14ac:dyDescent="0.25">
      <c r="A4">
        <f t="shared" ref="A4:A67" si="2">A3+1</f>
        <v>2383</v>
      </c>
      <c r="B4">
        <f t="shared" si="0"/>
        <v>18</v>
      </c>
      <c r="C4">
        <f t="shared" si="1"/>
        <v>3</v>
      </c>
      <c r="D4" t="str" cm="1">
        <f t="array" aca="1" ref="D4" ca="1">INDIRECT("'Uke "&amp;B4&amp;"'!V"&amp;9+C4)</f>
        <v>NOR/400748/000T001</v>
      </c>
      <c r="E4" s="20" cm="1">
        <f t="array" aca="1" ref="E4" ca="1">INDIRECT("'Uke "&amp;B4&amp;"'!AB"&amp;9+C4)</f>
        <v>7.5</v>
      </c>
    </row>
    <row r="5" spans="1:5" x14ac:dyDescent="0.25">
      <c r="A5">
        <f t="shared" si="2"/>
        <v>2384</v>
      </c>
      <c r="B5">
        <f t="shared" si="0"/>
        <v>18</v>
      </c>
      <c r="C5">
        <f t="shared" si="1"/>
        <v>4</v>
      </c>
      <c r="D5" t="str" cm="1">
        <f t="array" aca="1" ref="D5" ca="1">INDIRECT("'Uke "&amp;B5&amp;"'!V"&amp;9+C5)</f>
        <v>NOR/400748/000T001</v>
      </c>
      <c r="E5" s="20" cm="1">
        <f t="array" aca="1" ref="E5" ca="1">INDIRECT("'Uke "&amp;B5&amp;"'!AB"&amp;9+C5)</f>
        <v>7.5</v>
      </c>
    </row>
    <row r="6" spans="1:5" x14ac:dyDescent="0.25">
      <c r="A6">
        <f t="shared" si="2"/>
        <v>2385</v>
      </c>
      <c r="B6">
        <f t="shared" si="0"/>
        <v>18</v>
      </c>
      <c r="C6">
        <f t="shared" si="1"/>
        <v>5</v>
      </c>
      <c r="D6" t="str" cm="1">
        <f t="array" aca="1" ref="D6" ca="1">INDIRECT("'Uke "&amp;B6&amp;"'!V"&amp;9+C6)</f>
        <v>NOR/400748/000T001</v>
      </c>
      <c r="E6" s="20" cm="1">
        <f t="array" aca="1" ref="E6" ca="1">INDIRECT("'Uke "&amp;B6&amp;"'!AB"&amp;9+C6)</f>
        <v>7.5</v>
      </c>
    </row>
    <row r="7" spans="1:5" x14ac:dyDescent="0.25">
      <c r="A7">
        <f t="shared" si="2"/>
        <v>2386</v>
      </c>
      <c r="B7">
        <f t="shared" si="0"/>
        <v>18</v>
      </c>
      <c r="C7">
        <f t="shared" si="1"/>
        <v>6</v>
      </c>
      <c r="D7" t="str" cm="1">
        <f t="array" aca="1" ref="D7" ca="1">INDIRECT("'Uke "&amp;B7&amp;"'!V"&amp;9+C7)</f>
        <v/>
      </c>
      <c r="E7" s="20" t="str" cm="1">
        <f t="array" aca="1" ref="E7" ca="1">INDIRECT("'Uke "&amp;B7&amp;"'!AB"&amp;9+C7)</f>
        <v/>
      </c>
    </row>
    <row r="8" spans="1:5" x14ac:dyDescent="0.25">
      <c r="A8">
        <f t="shared" si="2"/>
        <v>2387</v>
      </c>
      <c r="B8">
        <f t="shared" si="0"/>
        <v>18</v>
      </c>
      <c r="C8">
        <f t="shared" si="1"/>
        <v>7</v>
      </c>
      <c r="D8" t="str" cm="1">
        <f t="array" aca="1" ref="D8" ca="1">INDIRECT("'Uke "&amp;B8&amp;"'!V"&amp;9+C8)</f>
        <v/>
      </c>
      <c r="E8" s="20" t="str" cm="1">
        <f t="array" aca="1" ref="E8" ca="1">INDIRECT("'Uke "&amp;B8&amp;"'!AB"&amp;9+C8)</f>
        <v/>
      </c>
    </row>
    <row r="9" spans="1:5" x14ac:dyDescent="0.25">
      <c r="A9">
        <f t="shared" si="2"/>
        <v>2388</v>
      </c>
      <c r="B9">
        <f t="shared" si="0"/>
        <v>18</v>
      </c>
      <c r="C9">
        <f t="shared" si="1"/>
        <v>8</v>
      </c>
      <c r="D9" t="str" cm="1">
        <f t="array" aca="1" ref="D9" ca="1">INDIRECT("'Uke "&amp;B9&amp;"'!V"&amp;9+C9)</f>
        <v/>
      </c>
      <c r="E9" s="20" t="str" cm="1">
        <f t="array" aca="1" ref="E9" ca="1">INDIRECT("'Uke "&amp;B9&amp;"'!AB"&amp;9+C9)</f>
        <v/>
      </c>
    </row>
    <row r="10" spans="1:5" x14ac:dyDescent="0.25">
      <c r="A10">
        <f t="shared" si="2"/>
        <v>2389</v>
      </c>
      <c r="B10">
        <f t="shared" si="0"/>
        <v>18</v>
      </c>
      <c r="C10">
        <f t="shared" si="1"/>
        <v>9</v>
      </c>
      <c r="D10" t="str" cm="1">
        <f t="array" aca="1" ref="D10" ca="1">INDIRECT("'Uke "&amp;B10&amp;"'!V"&amp;9+C10)</f>
        <v/>
      </c>
      <c r="E10" s="20" t="str" cm="1">
        <f t="array" aca="1" ref="E10" ca="1">INDIRECT("'Uke "&amp;B10&amp;"'!AB"&amp;9+C10)</f>
        <v/>
      </c>
    </row>
    <row r="11" spans="1:5" x14ac:dyDescent="0.25">
      <c r="A11">
        <f t="shared" si="2"/>
        <v>2390</v>
      </c>
      <c r="B11">
        <f t="shared" si="0"/>
        <v>18</v>
      </c>
      <c r="C11">
        <f t="shared" si="1"/>
        <v>10</v>
      </c>
      <c r="D11" t="str" cm="1">
        <f t="array" aca="1" ref="D11" ca="1">INDIRECT("'Uke "&amp;B11&amp;"'!V"&amp;9+C11)</f>
        <v/>
      </c>
      <c r="E11" s="20" t="str" cm="1">
        <f t="array" aca="1" ref="E11" ca="1">INDIRECT("'Uke "&amp;B11&amp;"'!AB"&amp;9+C11)</f>
        <v/>
      </c>
    </row>
    <row r="12" spans="1:5" x14ac:dyDescent="0.25">
      <c r="A12">
        <f t="shared" si="2"/>
        <v>2391</v>
      </c>
      <c r="B12">
        <f t="shared" si="0"/>
        <v>18</v>
      </c>
      <c r="C12">
        <f t="shared" si="1"/>
        <v>11</v>
      </c>
      <c r="D12" t="str" cm="1">
        <f t="array" aca="1" ref="D12" ca="1">INDIRECT("'Uke "&amp;B12&amp;"'!V"&amp;9+C12)</f>
        <v/>
      </c>
      <c r="E12" s="20" t="str" cm="1">
        <f t="array" aca="1" ref="E12" ca="1">INDIRECT("'Uke "&amp;B12&amp;"'!AB"&amp;9+C12)</f>
        <v/>
      </c>
    </row>
    <row r="13" spans="1:5" x14ac:dyDescent="0.25">
      <c r="A13">
        <f t="shared" si="2"/>
        <v>2392</v>
      </c>
      <c r="B13">
        <f t="shared" si="0"/>
        <v>18</v>
      </c>
      <c r="C13">
        <f t="shared" si="1"/>
        <v>12</v>
      </c>
      <c r="D13" t="str" cm="1">
        <f t="array" aca="1" ref="D13" ca="1">INDIRECT("'Uke "&amp;B13&amp;"'!V"&amp;9+C13)</f>
        <v/>
      </c>
      <c r="E13" s="20" t="str" cm="1">
        <f t="array" aca="1" ref="E13" ca="1">INDIRECT("'Uke "&amp;B13&amp;"'!AB"&amp;9+C13)</f>
        <v/>
      </c>
    </row>
    <row r="14" spans="1:5" x14ac:dyDescent="0.25">
      <c r="A14">
        <f t="shared" si="2"/>
        <v>2393</v>
      </c>
      <c r="B14">
        <f t="shared" si="0"/>
        <v>18</v>
      </c>
      <c r="C14">
        <f t="shared" si="1"/>
        <v>13</v>
      </c>
      <c r="D14" t="str" cm="1">
        <f t="array" aca="1" ref="D14" ca="1">INDIRECT("'Uke "&amp;B14&amp;"'!V"&amp;9+C14)</f>
        <v/>
      </c>
      <c r="E14" s="20" t="str" cm="1">
        <f t="array" aca="1" ref="E14" ca="1">INDIRECT("'Uke "&amp;B14&amp;"'!AB"&amp;9+C14)</f>
        <v/>
      </c>
    </row>
    <row r="15" spans="1:5" x14ac:dyDescent="0.25">
      <c r="A15">
        <f t="shared" si="2"/>
        <v>2394</v>
      </c>
      <c r="B15">
        <f t="shared" si="0"/>
        <v>18</v>
      </c>
      <c r="C15">
        <f t="shared" si="1"/>
        <v>14</v>
      </c>
      <c r="D15" t="str" cm="1">
        <f t="array" aca="1" ref="D15" ca="1">INDIRECT("'Uke "&amp;B15&amp;"'!V"&amp;9+C15)</f>
        <v/>
      </c>
      <c r="E15" s="20" t="str" cm="1">
        <f t="array" aca="1" ref="E15" ca="1">INDIRECT("'Uke "&amp;B15&amp;"'!AB"&amp;9+C15)</f>
        <v/>
      </c>
    </row>
    <row r="16" spans="1:5" x14ac:dyDescent="0.25">
      <c r="A16">
        <f t="shared" si="2"/>
        <v>2395</v>
      </c>
      <c r="B16">
        <f t="shared" si="0"/>
        <v>18</v>
      </c>
      <c r="C16">
        <f t="shared" si="1"/>
        <v>15</v>
      </c>
      <c r="D16" t="str" cm="1">
        <f t="array" aca="1" ref="D16" ca="1">INDIRECT("'Uke "&amp;B16&amp;"'!V"&amp;9+C16)</f>
        <v/>
      </c>
      <c r="E16" s="20" t="str" cm="1">
        <f t="array" aca="1" ref="E16" ca="1">INDIRECT("'Uke "&amp;B16&amp;"'!AB"&amp;9+C16)</f>
        <v/>
      </c>
    </row>
    <row r="17" spans="1:5" x14ac:dyDescent="0.25">
      <c r="A17">
        <f t="shared" si="2"/>
        <v>2396</v>
      </c>
      <c r="B17">
        <f t="shared" si="0"/>
        <v>18</v>
      </c>
      <c r="C17">
        <f t="shared" si="1"/>
        <v>16</v>
      </c>
      <c r="D17" t="str" cm="1">
        <f t="array" aca="1" ref="D17" ca="1">INDIRECT("'Uke "&amp;B17&amp;"'!V"&amp;9+C17)</f>
        <v/>
      </c>
      <c r="E17" s="20" t="str" cm="1">
        <f t="array" aca="1" ref="E17" ca="1">INDIRECT("'Uke "&amp;B17&amp;"'!AB"&amp;9+C17)</f>
        <v/>
      </c>
    </row>
    <row r="18" spans="1:5" x14ac:dyDescent="0.25">
      <c r="A18">
        <f t="shared" si="2"/>
        <v>2397</v>
      </c>
      <c r="B18">
        <f t="shared" si="0"/>
        <v>18</v>
      </c>
      <c r="C18">
        <f t="shared" si="1"/>
        <v>17</v>
      </c>
      <c r="D18" t="str" cm="1">
        <f t="array" aca="1" ref="D18" ca="1">INDIRECT("'Uke "&amp;B18&amp;"'!V"&amp;9+C18)</f>
        <v/>
      </c>
      <c r="E18" s="20" t="str" cm="1">
        <f t="array" aca="1" ref="E18" ca="1">INDIRECT("'Uke "&amp;B18&amp;"'!AB"&amp;9+C18)</f>
        <v/>
      </c>
    </row>
    <row r="19" spans="1:5" x14ac:dyDescent="0.25">
      <c r="A19">
        <f t="shared" si="2"/>
        <v>2398</v>
      </c>
      <c r="B19">
        <f t="shared" si="0"/>
        <v>18</v>
      </c>
      <c r="C19">
        <f t="shared" si="1"/>
        <v>18</v>
      </c>
      <c r="D19" t="str" cm="1">
        <f t="array" aca="1" ref="D19" ca="1">INDIRECT("'Uke "&amp;B19&amp;"'!V"&amp;9+C19)</f>
        <v/>
      </c>
      <c r="E19" s="20" t="str" cm="1">
        <f t="array" aca="1" ref="E19" ca="1">INDIRECT("'Uke "&amp;B19&amp;"'!AB"&amp;9+C19)</f>
        <v/>
      </c>
    </row>
    <row r="20" spans="1:5" x14ac:dyDescent="0.25">
      <c r="A20">
        <f t="shared" si="2"/>
        <v>2399</v>
      </c>
      <c r="B20">
        <f t="shared" si="0"/>
        <v>18</v>
      </c>
      <c r="C20">
        <f t="shared" si="1"/>
        <v>19</v>
      </c>
      <c r="D20" t="str" cm="1">
        <f t="array" aca="1" ref="D20" ca="1">INDIRECT("'Uke "&amp;B20&amp;"'!V"&amp;9+C20)</f>
        <v/>
      </c>
      <c r="E20" s="20" t="str" cm="1">
        <f t="array" aca="1" ref="E20" ca="1">INDIRECT("'Uke "&amp;B20&amp;"'!AB"&amp;9+C20)</f>
        <v/>
      </c>
    </row>
    <row r="21" spans="1:5" x14ac:dyDescent="0.25">
      <c r="A21">
        <f t="shared" si="2"/>
        <v>2400</v>
      </c>
      <c r="B21">
        <f t="shared" si="0"/>
        <v>18</v>
      </c>
      <c r="C21">
        <f t="shared" si="1"/>
        <v>20</v>
      </c>
      <c r="D21" t="str" cm="1">
        <f t="array" aca="1" ref="D21" ca="1">INDIRECT("'Uke "&amp;B21&amp;"'!V"&amp;9+C21)</f>
        <v/>
      </c>
      <c r="E21" s="20" t="str" cm="1">
        <f t="array" aca="1" ref="E21" ca="1">INDIRECT("'Uke "&amp;B21&amp;"'!AB"&amp;9+C21)</f>
        <v/>
      </c>
    </row>
    <row r="22" spans="1:5" x14ac:dyDescent="0.25">
      <c r="A22">
        <f t="shared" si="2"/>
        <v>2401</v>
      </c>
      <c r="B22">
        <f t="shared" si="0"/>
        <v>18</v>
      </c>
      <c r="C22">
        <f t="shared" si="1"/>
        <v>21</v>
      </c>
      <c r="D22" t="str" cm="1">
        <f t="array" aca="1" ref="D22" ca="1">INDIRECT("'Uke "&amp;B22&amp;"'!V"&amp;9+C22)</f>
        <v/>
      </c>
      <c r="E22" s="20" t="str" cm="1">
        <f t="array" aca="1" ref="E22" ca="1">INDIRECT("'Uke "&amp;B22&amp;"'!AB"&amp;9+C22)</f>
        <v/>
      </c>
    </row>
    <row r="23" spans="1:5" x14ac:dyDescent="0.25">
      <c r="A23">
        <f t="shared" si="2"/>
        <v>2402</v>
      </c>
      <c r="B23">
        <f t="shared" si="0"/>
        <v>18</v>
      </c>
      <c r="C23">
        <f t="shared" si="1"/>
        <v>22</v>
      </c>
      <c r="D23" t="str" cm="1">
        <f t="array" aca="1" ref="D23" ca="1">INDIRECT("'Uke "&amp;B23&amp;"'!V"&amp;9+C23)</f>
        <v/>
      </c>
      <c r="E23" s="20" t="str" cm="1">
        <f t="array" aca="1" ref="E23" ca="1">INDIRECT("'Uke "&amp;B23&amp;"'!AB"&amp;9+C23)</f>
        <v/>
      </c>
    </row>
    <row r="24" spans="1:5" x14ac:dyDescent="0.25">
      <c r="A24">
        <f t="shared" si="2"/>
        <v>2403</v>
      </c>
      <c r="B24">
        <f t="shared" si="0"/>
        <v>18</v>
      </c>
      <c r="C24">
        <f t="shared" si="1"/>
        <v>23</v>
      </c>
      <c r="D24" t="str" cm="1">
        <f t="array" aca="1" ref="D24" ca="1">INDIRECT("'Uke "&amp;B24&amp;"'!V"&amp;9+C24)</f>
        <v/>
      </c>
      <c r="E24" s="20" t="str" cm="1">
        <f t="array" aca="1" ref="E24" ca="1">INDIRECT("'Uke "&amp;B24&amp;"'!AB"&amp;9+C24)</f>
        <v/>
      </c>
    </row>
    <row r="25" spans="1:5" x14ac:dyDescent="0.25">
      <c r="A25">
        <f t="shared" si="2"/>
        <v>2404</v>
      </c>
      <c r="B25">
        <f t="shared" si="0"/>
        <v>18</v>
      </c>
      <c r="C25">
        <f t="shared" si="1"/>
        <v>24</v>
      </c>
      <c r="D25" t="str" cm="1">
        <f t="array" aca="1" ref="D25" ca="1">INDIRECT("'Uke "&amp;B25&amp;"'!V"&amp;9+C25)</f>
        <v/>
      </c>
      <c r="E25" s="20" t="str" cm="1">
        <f t="array" aca="1" ref="E25" ca="1">INDIRECT("'Uke "&amp;B25&amp;"'!AB"&amp;9+C25)</f>
        <v/>
      </c>
    </row>
    <row r="26" spans="1:5" x14ac:dyDescent="0.25">
      <c r="A26">
        <f t="shared" si="2"/>
        <v>2405</v>
      </c>
      <c r="B26">
        <f t="shared" si="0"/>
        <v>18</v>
      </c>
      <c r="C26">
        <f t="shared" si="1"/>
        <v>25</v>
      </c>
      <c r="D26" t="str" cm="1">
        <f t="array" aca="1" ref="D26" ca="1">INDIRECT("'Uke "&amp;B26&amp;"'!V"&amp;9+C26)</f>
        <v/>
      </c>
      <c r="E26" s="20" t="str" cm="1">
        <f t="array" aca="1" ref="E26" ca="1">INDIRECT("'Uke "&amp;B26&amp;"'!AB"&amp;9+C26)</f>
        <v/>
      </c>
    </row>
    <row r="27" spans="1:5" x14ac:dyDescent="0.25">
      <c r="A27">
        <f t="shared" si="2"/>
        <v>2406</v>
      </c>
      <c r="B27">
        <f t="shared" si="0"/>
        <v>18</v>
      </c>
      <c r="C27">
        <f t="shared" si="1"/>
        <v>26</v>
      </c>
      <c r="D27" t="str" cm="1">
        <f t="array" aca="1" ref="D27" ca="1">INDIRECT("'Uke "&amp;B27&amp;"'!V"&amp;9+C27)</f>
        <v/>
      </c>
      <c r="E27" s="20" t="str" cm="1">
        <f t="array" aca="1" ref="E27" ca="1">INDIRECT("'Uke "&amp;B27&amp;"'!AB"&amp;9+C27)</f>
        <v/>
      </c>
    </row>
    <row r="28" spans="1:5" x14ac:dyDescent="0.25">
      <c r="A28">
        <f t="shared" si="2"/>
        <v>2407</v>
      </c>
      <c r="B28">
        <f t="shared" si="0"/>
        <v>18</v>
      </c>
      <c r="C28">
        <f t="shared" si="1"/>
        <v>27</v>
      </c>
      <c r="D28" t="str" cm="1">
        <f t="array" aca="1" ref="D28" ca="1">INDIRECT("'Uke "&amp;B28&amp;"'!V"&amp;9+C28)</f>
        <v/>
      </c>
      <c r="E28" s="20" t="str" cm="1">
        <f t="array" aca="1" ref="E28" ca="1">INDIRECT("'Uke "&amp;B28&amp;"'!AB"&amp;9+C28)</f>
        <v/>
      </c>
    </row>
    <row r="29" spans="1:5" x14ac:dyDescent="0.25">
      <c r="A29">
        <f t="shared" si="2"/>
        <v>2408</v>
      </c>
      <c r="B29">
        <f t="shared" si="0"/>
        <v>18</v>
      </c>
      <c r="C29">
        <f t="shared" si="1"/>
        <v>28</v>
      </c>
      <c r="D29" t="str" cm="1">
        <f t="array" aca="1" ref="D29" ca="1">INDIRECT("'Uke "&amp;B29&amp;"'!V"&amp;9+C29)</f>
        <v/>
      </c>
      <c r="E29" s="20" t="str" cm="1">
        <f t="array" aca="1" ref="E29" ca="1">INDIRECT("'Uke "&amp;B29&amp;"'!AB"&amp;9+C29)</f>
        <v/>
      </c>
    </row>
    <row r="30" spans="1:5" x14ac:dyDescent="0.25">
      <c r="A30">
        <f t="shared" si="2"/>
        <v>2409</v>
      </c>
      <c r="B30">
        <f t="shared" si="0"/>
        <v>18</v>
      </c>
      <c r="C30">
        <f t="shared" si="1"/>
        <v>29</v>
      </c>
      <c r="D30" t="str" cm="1">
        <f t="array" aca="1" ref="D30" ca="1">INDIRECT("'Uke "&amp;B30&amp;"'!V"&amp;9+C30)</f>
        <v/>
      </c>
      <c r="E30" s="20" t="str" cm="1">
        <f t="array" aca="1" ref="E30" ca="1">INDIRECT("'Uke "&amp;B30&amp;"'!AB"&amp;9+C30)</f>
        <v/>
      </c>
    </row>
    <row r="31" spans="1:5" x14ac:dyDescent="0.25">
      <c r="A31">
        <f t="shared" si="2"/>
        <v>2410</v>
      </c>
      <c r="B31">
        <f t="shared" si="0"/>
        <v>18</v>
      </c>
      <c r="C31">
        <f t="shared" si="1"/>
        <v>30</v>
      </c>
      <c r="D31" t="str" cm="1">
        <f t="array" aca="1" ref="D31" ca="1">INDIRECT("'Uke "&amp;B31&amp;"'!V"&amp;9+C31)</f>
        <v/>
      </c>
      <c r="E31" s="20" t="str" cm="1">
        <f t="array" aca="1" ref="E31" ca="1">INDIRECT("'Uke "&amp;B31&amp;"'!AB"&amp;9+C31)</f>
        <v/>
      </c>
    </row>
    <row r="32" spans="1:5" x14ac:dyDescent="0.25">
      <c r="A32">
        <f t="shared" si="2"/>
        <v>2411</v>
      </c>
      <c r="B32">
        <f t="shared" si="0"/>
        <v>18</v>
      </c>
      <c r="C32">
        <f t="shared" si="1"/>
        <v>31</v>
      </c>
      <c r="D32" t="str" cm="1">
        <f t="array" aca="1" ref="D32" ca="1">INDIRECT("'Uke "&amp;B32&amp;"'!V"&amp;9+C32)</f>
        <v/>
      </c>
      <c r="E32" s="20" t="str" cm="1">
        <f t="array" aca="1" ref="E32" ca="1">INDIRECT("'Uke "&amp;B32&amp;"'!AB"&amp;9+C32)</f>
        <v/>
      </c>
    </row>
    <row r="33" spans="1:5" x14ac:dyDescent="0.25">
      <c r="A33">
        <f t="shared" si="2"/>
        <v>2412</v>
      </c>
      <c r="B33">
        <f t="shared" si="0"/>
        <v>18</v>
      </c>
      <c r="C33">
        <f t="shared" si="1"/>
        <v>32</v>
      </c>
      <c r="D33" t="str" cm="1">
        <f t="array" aca="1" ref="D33" ca="1">INDIRECT("'Uke "&amp;B33&amp;"'!V"&amp;9+C33)</f>
        <v/>
      </c>
      <c r="E33" s="20" t="str" cm="1">
        <f t="array" aca="1" ref="E33" ca="1">INDIRECT("'Uke "&amp;B33&amp;"'!AB"&amp;9+C33)</f>
        <v/>
      </c>
    </row>
    <row r="34" spans="1:5" x14ac:dyDescent="0.25">
      <c r="A34">
        <f t="shared" si="2"/>
        <v>2413</v>
      </c>
      <c r="B34">
        <f t="shared" si="0"/>
        <v>18</v>
      </c>
      <c r="C34">
        <f t="shared" si="1"/>
        <v>33</v>
      </c>
      <c r="D34" t="str" cm="1">
        <f t="array" aca="1" ref="D34" ca="1">INDIRECT("'Uke "&amp;B34&amp;"'!V"&amp;9+C34)</f>
        <v/>
      </c>
      <c r="E34" s="20" t="str" cm="1">
        <f t="array" aca="1" ref="E34" ca="1">INDIRECT("'Uke "&amp;B34&amp;"'!AB"&amp;9+C34)</f>
        <v/>
      </c>
    </row>
    <row r="35" spans="1:5" x14ac:dyDescent="0.25">
      <c r="A35">
        <f t="shared" si="2"/>
        <v>2414</v>
      </c>
      <c r="B35">
        <f t="shared" si="0"/>
        <v>18</v>
      </c>
      <c r="C35">
        <f t="shared" si="1"/>
        <v>34</v>
      </c>
      <c r="D35" t="str" cm="1">
        <f t="array" aca="1" ref="D35" ca="1">INDIRECT("'Uke "&amp;B35&amp;"'!V"&amp;9+C35)</f>
        <v/>
      </c>
      <c r="E35" s="20" t="str" cm="1">
        <f t="array" aca="1" ref="E35" ca="1">INDIRECT("'Uke "&amp;B35&amp;"'!AB"&amp;9+C35)</f>
        <v/>
      </c>
    </row>
    <row r="36" spans="1:5" x14ac:dyDescent="0.25">
      <c r="A36">
        <f t="shared" si="2"/>
        <v>2415</v>
      </c>
      <c r="B36">
        <f t="shared" si="0"/>
        <v>18</v>
      </c>
      <c r="C36">
        <f t="shared" si="1"/>
        <v>35</v>
      </c>
      <c r="D36" t="str" cm="1">
        <f t="array" aca="1" ref="D36" ca="1">INDIRECT("'Uke "&amp;B36&amp;"'!V"&amp;9+C36)</f>
        <v/>
      </c>
      <c r="E36" s="20" t="str" cm="1">
        <f t="array" aca="1" ref="E36" ca="1">INDIRECT("'Uke "&amp;B36&amp;"'!AB"&amp;9+C36)</f>
        <v/>
      </c>
    </row>
    <row r="37" spans="1:5" x14ac:dyDescent="0.25">
      <c r="A37">
        <f t="shared" si="2"/>
        <v>2416</v>
      </c>
      <c r="B37">
        <f t="shared" si="0"/>
        <v>18</v>
      </c>
      <c r="C37">
        <f t="shared" si="1"/>
        <v>36</v>
      </c>
      <c r="D37" t="str" cm="1">
        <f t="array" aca="1" ref="D37" ca="1">INDIRECT("'Uke "&amp;B37&amp;"'!V"&amp;9+C37)</f>
        <v/>
      </c>
      <c r="E37" s="20" t="str" cm="1">
        <f t="array" aca="1" ref="E37" ca="1">INDIRECT("'Uke "&amp;B37&amp;"'!AB"&amp;9+C37)</f>
        <v/>
      </c>
    </row>
    <row r="38" spans="1:5" x14ac:dyDescent="0.25">
      <c r="A38">
        <f t="shared" si="2"/>
        <v>2417</v>
      </c>
      <c r="B38">
        <f t="shared" si="0"/>
        <v>18</v>
      </c>
      <c r="C38">
        <f t="shared" si="1"/>
        <v>37</v>
      </c>
      <c r="D38" t="str" cm="1">
        <f t="array" aca="1" ref="D38" ca="1">INDIRECT("'Uke "&amp;B38&amp;"'!V"&amp;9+C38)</f>
        <v/>
      </c>
      <c r="E38" s="20" t="str" cm="1">
        <f t="array" aca="1" ref="E38" ca="1">INDIRECT("'Uke "&amp;B38&amp;"'!AB"&amp;9+C38)</f>
        <v/>
      </c>
    </row>
    <row r="39" spans="1:5" x14ac:dyDescent="0.25">
      <c r="A39">
        <f t="shared" si="2"/>
        <v>2418</v>
      </c>
      <c r="B39">
        <f t="shared" si="0"/>
        <v>18</v>
      </c>
      <c r="C39">
        <f t="shared" si="1"/>
        <v>38</v>
      </c>
      <c r="D39" t="str" cm="1">
        <f t="array" aca="1" ref="D39" ca="1">INDIRECT("'Uke "&amp;B39&amp;"'!V"&amp;9+C39)</f>
        <v/>
      </c>
      <c r="E39" s="20" t="str" cm="1">
        <f t="array" aca="1" ref="E39" ca="1">INDIRECT("'Uke "&amp;B39&amp;"'!AB"&amp;9+C39)</f>
        <v/>
      </c>
    </row>
    <row r="40" spans="1:5" x14ac:dyDescent="0.25">
      <c r="A40">
        <f t="shared" si="2"/>
        <v>2419</v>
      </c>
      <c r="B40">
        <f t="shared" si="0"/>
        <v>18</v>
      </c>
      <c r="C40">
        <f t="shared" si="1"/>
        <v>39</v>
      </c>
      <c r="D40" t="str" cm="1">
        <f t="array" aca="1" ref="D40" ca="1">INDIRECT("'Uke "&amp;B40&amp;"'!V"&amp;9+C40)</f>
        <v/>
      </c>
      <c r="E40" s="20" t="str" cm="1">
        <f t="array" aca="1" ref="E40" ca="1">INDIRECT("'Uke "&amp;B40&amp;"'!AB"&amp;9+C40)</f>
        <v/>
      </c>
    </row>
    <row r="41" spans="1:5" x14ac:dyDescent="0.25">
      <c r="A41">
        <f t="shared" si="2"/>
        <v>2420</v>
      </c>
      <c r="B41">
        <f t="shared" si="0"/>
        <v>18</v>
      </c>
      <c r="C41">
        <f t="shared" si="1"/>
        <v>40</v>
      </c>
      <c r="D41" t="str" cm="1">
        <f t="array" aca="1" ref="D41" ca="1">INDIRECT("'Uke "&amp;B41&amp;"'!V"&amp;9+C41)</f>
        <v/>
      </c>
      <c r="E41" s="20" t="str" cm="1">
        <f t="array" aca="1" ref="E41" ca="1">INDIRECT("'Uke "&amp;B41&amp;"'!AB"&amp;9+C41)</f>
        <v/>
      </c>
    </row>
    <row r="42" spans="1:5" x14ac:dyDescent="0.25">
      <c r="A42">
        <f t="shared" si="2"/>
        <v>2421</v>
      </c>
      <c r="B42">
        <f t="shared" si="0"/>
        <v>18</v>
      </c>
      <c r="C42">
        <f t="shared" si="1"/>
        <v>41</v>
      </c>
      <c r="D42" t="str" cm="1">
        <f t="array" aca="1" ref="D42" ca="1">INDIRECT("'Uke "&amp;B42&amp;"'!V"&amp;9+C42)</f>
        <v/>
      </c>
      <c r="E42" s="20" t="str" cm="1">
        <f t="array" aca="1" ref="E42" ca="1">INDIRECT("'Uke "&amp;B42&amp;"'!AB"&amp;9+C42)</f>
        <v/>
      </c>
    </row>
    <row r="43" spans="1:5" x14ac:dyDescent="0.25">
      <c r="A43">
        <f t="shared" si="2"/>
        <v>2422</v>
      </c>
      <c r="B43">
        <f t="shared" si="0"/>
        <v>18</v>
      </c>
      <c r="C43">
        <f t="shared" si="1"/>
        <v>42</v>
      </c>
      <c r="D43" t="str" cm="1">
        <f t="array" aca="1" ref="D43" ca="1">INDIRECT("'Uke "&amp;B43&amp;"'!V"&amp;9+C43)</f>
        <v/>
      </c>
      <c r="E43" s="20" t="str" cm="1">
        <f t="array" aca="1" ref="E43" ca="1">INDIRECT("'Uke "&amp;B43&amp;"'!AB"&amp;9+C43)</f>
        <v/>
      </c>
    </row>
    <row r="44" spans="1:5" x14ac:dyDescent="0.25">
      <c r="A44">
        <f t="shared" si="2"/>
        <v>2423</v>
      </c>
      <c r="B44">
        <f t="shared" si="0"/>
        <v>18</v>
      </c>
      <c r="C44">
        <f t="shared" si="1"/>
        <v>43</v>
      </c>
      <c r="D44" t="str" cm="1">
        <f t="array" aca="1" ref="D44" ca="1">INDIRECT("'Uke "&amp;B44&amp;"'!V"&amp;9+C44)</f>
        <v/>
      </c>
      <c r="E44" s="20" t="str" cm="1">
        <f t="array" aca="1" ref="E44" ca="1">INDIRECT("'Uke "&amp;B44&amp;"'!AB"&amp;9+C44)</f>
        <v/>
      </c>
    </row>
    <row r="45" spans="1:5" x14ac:dyDescent="0.25">
      <c r="A45">
        <f t="shared" si="2"/>
        <v>2424</v>
      </c>
      <c r="B45">
        <f t="shared" si="0"/>
        <v>18</v>
      </c>
      <c r="C45">
        <f t="shared" si="1"/>
        <v>44</v>
      </c>
      <c r="D45" t="str" cm="1">
        <f t="array" aca="1" ref="D45" ca="1">INDIRECT("'Uke "&amp;B45&amp;"'!V"&amp;9+C45)</f>
        <v/>
      </c>
      <c r="E45" s="20" t="str" cm="1">
        <f t="array" aca="1" ref="E45" ca="1">INDIRECT("'Uke "&amp;B45&amp;"'!AB"&amp;9+C45)</f>
        <v/>
      </c>
    </row>
    <row r="46" spans="1:5" x14ac:dyDescent="0.25">
      <c r="A46">
        <f t="shared" si="2"/>
        <v>2425</v>
      </c>
      <c r="B46">
        <f t="shared" si="0"/>
        <v>18</v>
      </c>
      <c r="C46">
        <f t="shared" si="1"/>
        <v>45</v>
      </c>
      <c r="D46" t="str" cm="1">
        <f t="array" aca="1" ref="D46" ca="1">INDIRECT("'Uke "&amp;B46&amp;"'!V"&amp;9+C46)</f>
        <v/>
      </c>
      <c r="E46" s="20" t="str" cm="1">
        <f t="array" aca="1" ref="E46" ca="1">INDIRECT("'Uke "&amp;B46&amp;"'!AB"&amp;9+C46)</f>
        <v/>
      </c>
    </row>
    <row r="47" spans="1:5" x14ac:dyDescent="0.25">
      <c r="A47">
        <f t="shared" si="2"/>
        <v>2426</v>
      </c>
      <c r="B47">
        <f t="shared" si="0"/>
        <v>18</v>
      </c>
      <c r="C47">
        <f t="shared" si="1"/>
        <v>46</v>
      </c>
      <c r="D47" t="str" cm="1">
        <f t="array" aca="1" ref="D47" ca="1">INDIRECT("'Uke "&amp;B47&amp;"'!V"&amp;9+C47)</f>
        <v/>
      </c>
      <c r="E47" s="20" t="str" cm="1">
        <f t="array" aca="1" ref="E47" ca="1">INDIRECT("'Uke "&amp;B47&amp;"'!AB"&amp;9+C47)</f>
        <v/>
      </c>
    </row>
    <row r="48" spans="1:5" x14ac:dyDescent="0.25">
      <c r="A48">
        <f t="shared" si="2"/>
        <v>2427</v>
      </c>
      <c r="B48">
        <f t="shared" si="0"/>
        <v>18</v>
      </c>
      <c r="C48">
        <f t="shared" si="1"/>
        <v>47</v>
      </c>
      <c r="D48" t="str" cm="1">
        <f t="array" aca="1" ref="D48" ca="1">INDIRECT("'Uke "&amp;B48&amp;"'!V"&amp;9+C48)</f>
        <v/>
      </c>
      <c r="E48" s="20" t="str" cm="1">
        <f t="array" aca="1" ref="E48" ca="1">INDIRECT("'Uke "&amp;B48&amp;"'!AB"&amp;9+C48)</f>
        <v/>
      </c>
    </row>
    <row r="49" spans="1:5" x14ac:dyDescent="0.25">
      <c r="A49">
        <f t="shared" si="2"/>
        <v>2428</v>
      </c>
      <c r="B49">
        <f t="shared" si="0"/>
        <v>18</v>
      </c>
      <c r="C49">
        <f t="shared" si="1"/>
        <v>48</v>
      </c>
      <c r="D49" t="str" cm="1">
        <f t="array" aca="1" ref="D49" ca="1">INDIRECT("'Uke "&amp;B49&amp;"'!V"&amp;9+C49)</f>
        <v/>
      </c>
      <c r="E49" s="20" t="str" cm="1">
        <f t="array" aca="1" ref="E49" ca="1">INDIRECT("'Uke "&amp;B49&amp;"'!AB"&amp;9+C49)</f>
        <v/>
      </c>
    </row>
    <row r="50" spans="1:5" x14ac:dyDescent="0.25">
      <c r="A50">
        <f t="shared" si="2"/>
        <v>2429</v>
      </c>
      <c r="B50">
        <f t="shared" si="0"/>
        <v>18</v>
      </c>
      <c r="C50">
        <f t="shared" si="1"/>
        <v>49</v>
      </c>
      <c r="D50" t="str" cm="1">
        <f t="array" aca="1" ref="D50" ca="1">INDIRECT("'Uke "&amp;B50&amp;"'!V"&amp;9+C50)</f>
        <v/>
      </c>
      <c r="E50" s="20" t="str" cm="1">
        <f t="array" aca="1" ref="E50" ca="1">INDIRECT("'Uke "&amp;B50&amp;"'!AB"&amp;9+C50)</f>
        <v/>
      </c>
    </row>
    <row r="51" spans="1:5" x14ac:dyDescent="0.25">
      <c r="A51">
        <f t="shared" si="2"/>
        <v>2430</v>
      </c>
      <c r="B51">
        <f t="shared" si="0"/>
        <v>18</v>
      </c>
      <c r="C51">
        <f t="shared" si="1"/>
        <v>50</v>
      </c>
      <c r="D51" t="str" cm="1">
        <f t="array" aca="1" ref="D51" ca="1">INDIRECT("'Uke "&amp;B51&amp;"'!V"&amp;9+C51)</f>
        <v/>
      </c>
      <c r="E51" s="20" t="str" cm="1">
        <f t="array" aca="1" ref="E51" ca="1">INDIRECT("'Uke "&amp;B51&amp;"'!AB"&amp;9+C51)</f>
        <v/>
      </c>
    </row>
    <row r="52" spans="1:5" x14ac:dyDescent="0.25">
      <c r="A52">
        <f t="shared" si="2"/>
        <v>2431</v>
      </c>
      <c r="B52">
        <f t="shared" si="0"/>
        <v>18</v>
      </c>
      <c r="C52">
        <f t="shared" si="1"/>
        <v>51</v>
      </c>
      <c r="D52" t="str" cm="1">
        <f t="array" aca="1" ref="D52" ca="1">INDIRECT("'Uke "&amp;B52&amp;"'!V"&amp;9+C52)</f>
        <v/>
      </c>
      <c r="E52" s="20" t="str" cm="1">
        <f t="array" aca="1" ref="E52" ca="1">INDIRECT("'Uke "&amp;B52&amp;"'!AB"&amp;9+C52)</f>
        <v/>
      </c>
    </row>
    <row r="53" spans="1:5" x14ac:dyDescent="0.25">
      <c r="A53">
        <f t="shared" si="2"/>
        <v>2432</v>
      </c>
      <c r="B53">
        <f t="shared" si="0"/>
        <v>18</v>
      </c>
      <c r="C53">
        <f t="shared" si="1"/>
        <v>52</v>
      </c>
      <c r="D53" t="str" cm="1">
        <f t="array" aca="1" ref="D53" ca="1">INDIRECT("'Uke "&amp;B53&amp;"'!V"&amp;9+C53)</f>
        <v/>
      </c>
      <c r="E53" s="20" t="str" cm="1">
        <f t="array" aca="1" ref="E53" ca="1">INDIRECT("'Uke "&amp;B53&amp;"'!AB"&amp;9+C53)</f>
        <v/>
      </c>
    </row>
    <row r="54" spans="1:5" x14ac:dyDescent="0.25">
      <c r="A54">
        <f t="shared" si="2"/>
        <v>2433</v>
      </c>
      <c r="B54">
        <f t="shared" si="0"/>
        <v>18</v>
      </c>
      <c r="C54">
        <f t="shared" si="1"/>
        <v>53</v>
      </c>
      <c r="D54" t="str" cm="1">
        <f t="array" aca="1" ref="D54" ca="1">INDIRECT("'Uke "&amp;B54&amp;"'!V"&amp;9+C54)</f>
        <v/>
      </c>
      <c r="E54" s="20" t="str" cm="1">
        <f t="array" aca="1" ref="E54" ca="1">INDIRECT("'Uke "&amp;B54&amp;"'!AB"&amp;9+C54)</f>
        <v/>
      </c>
    </row>
    <row r="55" spans="1:5" x14ac:dyDescent="0.25">
      <c r="A55">
        <f t="shared" si="2"/>
        <v>2434</v>
      </c>
      <c r="B55">
        <f t="shared" si="0"/>
        <v>18</v>
      </c>
      <c r="C55">
        <f t="shared" si="1"/>
        <v>54</v>
      </c>
      <c r="D55" t="str" cm="1">
        <f t="array" aca="1" ref="D55" ca="1">INDIRECT("'Uke "&amp;B55&amp;"'!V"&amp;9+C55)</f>
        <v/>
      </c>
      <c r="E55" s="20" t="str" cm="1">
        <f t="array" aca="1" ref="E55" ca="1">INDIRECT("'Uke "&amp;B55&amp;"'!AB"&amp;9+C55)</f>
        <v/>
      </c>
    </row>
    <row r="56" spans="1:5" x14ac:dyDescent="0.25">
      <c r="A56">
        <f t="shared" si="2"/>
        <v>2435</v>
      </c>
      <c r="B56">
        <f t="shared" si="0"/>
        <v>18</v>
      </c>
      <c r="C56">
        <f t="shared" si="1"/>
        <v>55</v>
      </c>
      <c r="D56" t="str" cm="1">
        <f t="array" aca="1" ref="D56" ca="1">INDIRECT("'Uke "&amp;B56&amp;"'!V"&amp;9+C56)</f>
        <v/>
      </c>
      <c r="E56" s="20" t="str" cm="1">
        <f t="array" aca="1" ref="E56" ca="1">INDIRECT("'Uke "&amp;B56&amp;"'!AB"&amp;9+C56)</f>
        <v/>
      </c>
    </row>
    <row r="57" spans="1:5" x14ac:dyDescent="0.25">
      <c r="A57">
        <f t="shared" si="2"/>
        <v>2436</v>
      </c>
      <c r="B57">
        <f t="shared" si="0"/>
        <v>18</v>
      </c>
      <c r="C57">
        <f t="shared" si="1"/>
        <v>56</v>
      </c>
      <c r="D57" t="str" cm="1">
        <f t="array" aca="1" ref="D57" ca="1">INDIRECT("'Uke "&amp;B57&amp;"'!V"&amp;9+C57)</f>
        <v/>
      </c>
      <c r="E57" s="20" t="str" cm="1">
        <f t="array" aca="1" ref="E57" ca="1">INDIRECT("'Uke "&amp;B57&amp;"'!AB"&amp;9+C57)</f>
        <v/>
      </c>
    </row>
    <row r="58" spans="1:5" x14ac:dyDescent="0.25">
      <c r="A58">
        <f t="shared" si="2"/>
        <v>2437</v>
      </c>
      <c r="B58">
        <f t="shared" si="0"/>
        <v>18</v>
      </c>
      <c r="C58">
        <f t="shared" si="1"/>
        <v>57</v>
      </c>
      <c r="D58" t="str" cm="1">
        <f t="array" aca="1" ref="D58" ca="1">INDIRECT("'Uke "&amp;B58&amp;"'!V"&amp;9+C58)</f>
        <v/>
      </c>
      <c r="E58" s="20" t="str" cm="1">
        <f t="array" aca="1" ref="E58" ca="1">INDIRECT("'Uke "&amp;B58&amp;"'!AB"&amp;9+C58)</f>
        <v/>
      </c>
    </row>
    <row r="59" spans="1:5" x14ac:dyDescent="0.25">
      <c r="A59">
        <f t="shared" si="2"/>
        <v>2438</v>
      </c>
      <c r="B59">
        <f t="shared" si="0"/>
        <v>18</v>
      </c>
      <c r="C59">
        <f t="shared" si="1"/>
        <v>58</v>
      </c>
      <c r="D59" t="str" cm="1">
        <f t="array" aca="1" ref="D59" ca="1">INDIRECT("'Uke "&amp;B59&amp;"'!V"&amp;9+C59)</f>
        <v/>
      </c>
      <c r="E59" s="20" t="str" cm="1">
        <f t="array" aca="1" ref="E59" ca="1">INDIRECT("'Uke "&amp;B59&amp;"'!AB"&amp;9+C59)</f>
        <v/>
      </c>
    </row>
    <row r="60" spans="1:5" x14ac:dyDescent="0.25">
      <c r="A60">
        <f t="shared" si="2"/>
        <v>2439</v>
      </c>
      <c r="B60">
        <f t="shared" si="0"/>
        <v>18</v>
      </c>
      <c r="C60">
        <f t="shared" si="1"/>
        <v>59</v>
      </c>
      <c r="D60" t="str" cm="1">
        <f t="array" aca="1" ref="D60" ca="1">INDIRECT("'Uke "&amp;B60&amp;"'!V"&amp;9+C60)</f>
        <v/>
      </c>
      <c r="E60" s="20" t="str" cm="1">
        <f t="array" aca="1" ref="E60" ca="1">INDIRECT("'Uke "&amp;B60&amp;"'!AB"&amp;9+C60)</f>
        <v/>
      </c>
    </row>
    <row r="61" spans="1:5" x14ac:dyDescent="0.25">
      <c r="A61">
        <f t="shared" si="2"/>
        <v>2440</v>
      </c>
      <c r="B61">
        <f t="shared" si="0"/>
        <v>18</v>
      </c>
      <c r="C61">
        <f t="shared" si="1"/>
        <v>60</v>
      </c>
      <c r="D61" t="str" cm="1">
        <f t="array" aca="1" ref="D61" ca="1">INDIRECT("'Uke "&amp;B61&amp;"'!V"&amp;9+C61)</f>
        <v/>
      </c>
      <c r="E61" s="20" t="str" cm="1">
        <f t="array" aca="1" ref="E61" ca="1">INDIRECT("'Uke "&amp;B61&amp;"'!AB"&amp;9+C61)</f>
        <v/>
      </c>
    </row>
    <row r="62" spans="1:5" x14ac:dyDescent="0.25">
      <c r="A62">
        <f t="shared" si="2"/>
        <v>2441</v>
      </c>
      <c r="B62">
        <f t="shared" si="0"/>
        <v>18</v>
      </c>
      <c r="C62">
        <f t="shared" si="1"/>
        <v>61</v>
      </c>
      <c r="D62" t="str" cm="1">
        <f t="array" aca="1" ref="D62" ca="1">INDIRECT("'Uke "&amp;B62&amp;"'!V"&amp;9+C62)</f>
        <v/>
      </c>
      <c r="E62" s="20" t="str" cm="1">
        <f t="array" aca="1" ref="E62" ca="1">INDIRECT("'Uke "&amp;B62&amp;"'!AB"&amp;9+C62)</f>
        <v/>
      </c>
    </row>
    <row r="63" spans="1:5" x14ac:dyDescent="0.25">
      <c r="A63">
        <f t="shared" si="2"/>
        <v>2442</v>
      </c>
      <c r="B63">
        <f t="shared" si="0"/>
        <v>18</v>
      </c>
      <c r="C63">
        <f t="shared" si="1"/>
        <v>62</v>
      </c>
      <c r="D63" t="str" cm="1">
        <f t="array" aca="1" ref="D63" ca="1">INDIRECT("'Uke "&amp;B63&amp;"'!V"&amp;9+C63)</f>
        <v/>
      </c>
      <c r="E63" s="20" t="str" cm="1">
        <f t="array" aca="1" ref="E63" ca="1">INDIRECT("'Uke "&amp;B63&amp;"'!AB"&amp;9+C63)</f>
        <v/>
      </c>
    </row>
    <row r="64" spans="1:5" x14ac:dyDescent="0.25">
      <c r="A64">
        <f t="shared" si="2"/>
        <v>2443</v>
      </c>
      <c r="B64">
        <f t="shared" si="0"/>
        <v>18</v>
      </c>
      <c r="C64">
        <f t="shared" si="1"/>
        <v>63</v>
      </c>
      <c r="D64" t="str" cm="1">
        <f t="array" aca="1" ref="D64" ca="1">INDIRECT("'Uke "&amp;B64&amp;"'!V"&amp;9+C64)</f>
        <v/>
      </c>
      <c r="E64" s="20" t="str" cm="1">
        <f t="array" aca="1" ref="E64" ca="1">INDIRECT("'Uke "&amp;B64&amp;"'!AB"&amp;9+C64)</f>
        <v/>
      </c>
    </row>
    <row r="65" spans="1:5" x14ac:dyDescent="0.25">
      <c r="A65">
        <f t="shared" si="2"/>
        <v>2444</v>
      </c>
      <c r="B65">
        <f t="shared" si="0"/>
        <v>18</v>
      </c>
      <c r="C65">
        <f t="shared" si="1"/>
        <v>64</v>
      </c>
      <c r="D65" t="str" cm="1">
        <f t="array" aca="1" ref="D65" ca="1">INDIRECT("'Uke "&amp;B65&amp;"'!V"&amp;9+C65)</f>
        <v/>
      </c>
      <c r="E65" s="20" t="str" cm="1">
        <f t="array" aca="1" ref="E65" ca="1">INDIRECT("'Uke "&amp;B65&amp;"'!AB"&amp;9+C65)</f>
        <v/>
      </c>
    </row>
    <row r="66" spans="1:5" x14ac:dyDescent="0.25">
      <c r="A66">
        <f t="shared" si="2"/>
        <v>2445</v>
      </c>
      <c r="B66">
        <f t="shared" si="0"/>
        <v>18</v>
      </c>
      <c r="C66">
        <f t="shared" si="1"/>
        <v>65</v>
      </c>
      <c r="D66" t="str" cm="1">
        <f t="array" aca="1" ref="D66" ca="1">INDIRECT("'Uke "&amp;B66&amp;"'!V"&amp;9+C66)</f>
        <v/>
      </c>
      <c r="E66" s="20" t="str" cm="1">
        <f t="array" aca="1" ref="E66" ca="1">INDIRECT("'Uke "&amp;B66&amp;"'!AB"&amp;9+C66)</f>
        <v/>
      </c>
    </row>
    <row r="67" spans="1:5" x14ac:dyDescent="0.25">
      <c r="A67">
        <f t="shared" si="2"/>
        <v>2446</v>
      </c>
      <c r="B67">
        <f t="shared" ref="B67:B130" si="3">INT((A67-1)/140)+1</f>
        <v>18</v>
      </c>
      <c r="C67">
        <f t="shared" ref="C67:C130" si="4">MOD(A67-1,140)+1</f>
        <v>66</v>
      </c>
      <c r="D67" t="str" cm="1">
        <f t="array" aca="1" ref="D67" ca="1">INDIRECT("'Uke "&amp;B67&amp;"'!V"&amp;9+C67)</f>
        <v/>
      </c>
      <c r="E67" s="20" t="str" cm="1">
        <f t="array" aca="1" ref="E67" ca="1">INDIRECT("'Uke "&amp;B67&amp;"'!AB"&amp;9+C67)</f>
        <v/>
      </c>
    </row>
    <row r="68" spans="1:5" x14ac:dyDescent="0.25">
      <c r="A68">
        <f t="shared" ref="A68:A131" si="5">A67+1</f>
        <v>2447</v>
      </c>
      <c r="B68">
        <f t="shared" si="3"/>
        <v>18</v>
      </c>
      <c r="C68">
        <f t="shared" si="4"/>
        <v>67</v>
      </c>
      <c r="D68" t="str" cm="1">
        <f t="array" aca="1" ref="D68" ca="1">INDIRECT("'Uke "&amp;B68&amp;"'!V"&amp;9+C68)</f>
        <v/>
      </c>
      <c r="E68" s="20" t="str" cm="1">
        <f t="array" aca="1" ref="E68" ca="1">INDIRECT("'Uke "&amp;B68&amp;"'!AB"&amp;9+C68)</f>
        <v/>
      </c>
    </row>
    <row r="69" spans="1:5" x14ac:dyDescent="0.25">
      <c r="A69">
        <f t="shared" si="5"/>
        <v>2448</v>
      </c>
      <c r="B69">
        <f t="shared" si="3"/>
        <v>18</v>
      </c>
      <c r="C69">
        <f t="shared" si="4"/>
        <v>68</v>
      </c>
      <c r="D69" t="str" cm="1">
        <f t="array" aca="1" ref="D69" ca="1">INDIRECT("'Uke "&amp;B69&amp;"'!V"&amp;9+C69)</f>
        <v/>
      </c>
      <c r="E69" s="20" t="str" cm="1">
        <f t="array" aca="1" ref="E69" ca="1">INDIRECT("'Uke "&amp;B69&amp;"'!AB"&amp;9+C69)</f>
        <v/>
      </c>
    </row>
    <row r="70" spans="1:5" x14ac:dyDescent="0.25">
      <c r="A70">
        <f t="shared" si="5"/>
        <v>2449</v>
      </c>
      <c r="B70">
        <f t="shared" si="3"/>
        <v>18</v>
      </c>
      <c r="C70">
        <f t="shared" si="4"/>
        <v>69</v>
      </c>
      <c r="D70" t="str" cm="1">
        <f t="array" aca="1" ref="D70" ca="1">INDIRECT("'Uke "&amp;B70&amp;"'!V"&amp;9+C70)</f>
        <v/>
      </c>
      <c r="E70" s="20" t="str" cm="1">
        <f t="array" aca="1" ref="E70" ca="1">INDIRECT("'Uke "&amp;B70&amp;"'!AB"&amp;9+C70)</f>
        <v/>
      </c>
    </row>
    <row r="71" spans="1:5" x14ac:dyDescent="0.25">
      <c r="A71">
        <f t="shared" si="5"/>
        <v>2450</v>
      </c>
      <c r="B71">
        <f t="shared" si="3"/>
        <v>18</v>
      </c>
      <c r="C71">
        <f t="shared" si="4"/>
        <v>70</v>
      </c>
      <c r="D71" t="str" cm="1">
        <f t="array" aca="1" ref="D71" ca="1">INDIRECT("'Uke "&amp;B71&amp;"'!V"&amp;9+C71)</f>
        <v/>
      </c>
      <c r="E71" s="20" t="str" cm="1">
        <f t="array" aca="1" ref="E71" ca="1">INDIRECT("'Uke "&amp;B71&amp;"'!AB"&amp;9+C71)</f>
        <v/>
      </c>
    </row>
    <row r="72" spans="1:5" x14ac:dyDescent="0.25">
      <c r="A72">
        <f t="shared" si="5"/>
        <v>2451</v>
      </c>
      <c r="B72">
        <f t="shared" si="3"/>
        <v>18</v>
      </c>
      <c r="C72">
        <f t="shared" si="4"/>
        <v>71</v>
      </c>
      <c r="D72" t="str" cm="1">
        <f t="array" aca="1" ref="D72" ca="1">INDIRECT("'Uke "&amp;B72&amp;"'!V"&amp;9+C72)</f>
        <v/>
      </c>
      <c r="E72" s="20" t="str" cm="1">
        <f t="array" aca="1" ref="E72" ca="1">INDIRECT("'Uke "&amp;B72&amp;"'!AB"&amp;9+C72)</f>
        <v/>
      </c>
    </row>
    <row r="73" spans="1:5" x14ac:dyDescent="0.25">
      <c r="A73">
        <f t="shared" si="5"/>
        <v>2452</v>
      </c>
      <c r="B73">
        <f t="shared" si="3"/>
        <v>18</v>
      </c>
      <c r="C73">
        <f t="shared" si="4"/>
        <v>72</v>
      </c>
      <c r="D73" t="str" cm="1">
        <f t="array" aca="1" ref="D73" ca="1">INDIRECT("'Uke "&amp;B73&amp;"'!V"&amp;9+C73)</f>
        <v/>
      </c>
      <c r="E73" s="20" t="str" cm="1">
        <f t="array" aca="1" ref="E73" ca="1">INDIRECT("'Uke "&amp;B73&amp;"'!AB"&amp;9+C73)</f>
        <v/>
      </c>
    </row>
    <row r="74" spans="1:5" x14ac:dyDescent="0.25">
      <c r="A74">
        <f t="shared" si="5"/>
        <v>2453</v>
      </c>
      <c r="B74">
        <f t="shared" si="3"/>
        <v>18</v>
      </c>
      <c r="C74">
        <f t="shared" si="4"/>
        <v>73</v>
      </c>
      <c r="D74" t="str" cm="1">
        <f t="array" aca="1" ref="D74" ca="1">INDIRECT("'Uke "&amp;B74&amp;"'!V"&amp;9+C74)</f>
        <v/>
      </c>
      <c r="E74" s="20" t="str" cm="1">
        <f t="array" aca="1" ref="E74" ca="1">INDIRECT("'Uke "&amp;B74&amp;"'!AB"&amp;9+C74)</f>
        <v/>
      </c>
    </row>
    <row r="75" spans="1:5" x14ac:dyDescent="0.25">
      <c r="A75">
        <f t="shared" si="5"/>
        <v>2454</v>
      </c>
      <c r="B75">
        <f t="shared" si="3"/>
        <v>18</v>
      </c>
      <c r="C75">
        <f t="shared" si="4"/>
        <v>74</v>
      </c>
      <c r="D75" t="str" cm="1">
        <f t="array" aca="1" ref="D75" ca="1">INDIRECT("'Uke "&amp;B75&amp;"'!V"&amp;9+C75)</f>
        <v/>
      </c>
      <c r="E75" s="20" t="str" cm="1">
        <f t="array" aca="1" ref="E75" ca="1">INDIRECT("'Uke "&amp;B75&amp;"'!AB"&amp;9+C75)</f>
        <v/>
      </c>
    </row>
    <row r="76" spans="1:5" x14ac:dyDescent="0.25">
      <c r="A76">
        <f t="shared" si="5"/>
        <v>2455</v>
      </c>
      <c r="B76">
        <f t="shared" si="3"/>
        <v>18</v>
      </c>
      <c r="C76">
        <f t="shared" si="4"/>
        <v>75</v>
      </c>
      <c r="D76" t="str" cm="1">
        <f t="array" aca="1" ref="D76" ca="1">INDIRECT("'Uke "&amp;B76&amp;"'!V"&amp;9+C76)</f>
        <v/>
      </c>
      <c r="E76" s="20" t="str" cm="1">
        <f t="array" aca="1" ref="E76" ca="1">INDIRECT("'Uke "&amp;B76&amp;"'!AB"&amp;9+C76)</f>
        <v/>
      </c>
    </row>
    <row r="77" spans="1:5" x14ac:dyDescent="0.25">
      <c r="A77">
        <f t="shared" si="5"/>
        <v>2456</v>
      </c>
      <c r="B77">
        <f t="shared" si="3"/>
        <v>18</v>
      </c>
      <c r="C77">
        <f t="shared" si="4"/>
        <v>76</v>
      </c>
      <c r="D77" t="str" cm="1">
        <f t="array" aca="1" ref="D77" ca="1">INDIRECT("'Uke "&amp;B77&amp;"'!V"&amp;9+C77)</f>
        <v/>
      </c>
      <c r="E77" s="20" t="str" cm="1">
        <f t="array" aca="1" ref="E77" ca="1">INDIRECT("'Uke "&amp;B77&amp;"'!AB"&amp;9+C77)</f>
        <v/>
      </c>
    </row>
    <row r="78" spans="1:5" x14ac:dyDescent="0.25">
      <c r="A78">
        <f t="shared" si="5"/>
        <v>2457</v>
      </c>
      <c r="B78">
        <f t="shared" si="3"/>
        <v>18</v>
      </c>
      <c r="C78">
        <f t="shared" si="4"/>
        <v>77</v>
      </c>
      <c r="D78" t="str" cm="1">
        <f t="array" aca="1" ref="D78" ca="1">INDIRECT("'Uke "&amp;B78&amp;"'!V"&amp;9+C78)</f>
        <v/>
      </c>
      <c r="E78" s="20" t="str" cm="1">
        <f t="array" aca="1" ref="E78" ca="1">INDIRECT("'Uke "&amp;B78&amp;"'!AB"&amp;9+C78)</f>
        <v/>
      </c>
    </row>
    <row r="79" spans="1:5" x14ac:dyDescent="0.25">
      <c r="A79">
        <f t="shared" si="5"/>
        <v>2458</v>
      </c>
      <c r="B79">
        <f t="shared" si="3"/>
        <v>18</v>
      </c>
      <c r="C79">
        <f t="shared" si="4"/>
        <v>78</v>
      </c>
      <c r="D79" t="str" cm="1">
        <f t="array" aca="1" ref="D79" ca="1">INDIRECT("'Uke "&amp;B79&amp;"'!V"&amp;9+C79)</f>
        <v/>
      </c>
      <c r="E79" s="20" t="str" cm="1">
        <f t="array" aca="1" ref="E79" ca="1">INDIRECT("'Uke "&amp;B79&amp;"'!AB"&amp;9+C79)</f>
        <v/>
      </c>
    </row>
    <row r="80" spans="1:5" x14ac:dyDescent="0.25">
      <c r="A80">
        <f t="shared" si="5"/>
        <v>2459</v>
      </c>
      <c r="B80">
        <f t="shared" si="3"/>
        <v>18</v>
      </c>
      <c r="C80">
        <f t="shared" si="4"/>
        <v>79</v>
      </c>
      <c r="D80" t="str" cm="1">
        <f t="array" aca="1" ref="D80" ca="1">INDIRECT("'Uke "&amp;B80&amp;"'!V"&amp;9+C80)</f>
        <v/>
      </c>
      <c r="E80" s="20" t="str" cm="1">
        <f t="array" aca="1" ref="E80" ca="1">INDIRECT("'Uke "&amp;B80&amp;"'!AB"&amp;9+C80)</f>
        <v/>
      </c>
    </row>
    <row r="81" spans="1:5" x14ac:dyDescent="0.25">
      <c r="A81">
        <f t="shared" si="5"/>
        <v>2460</v>
      </c>
      <c r="B81">
        <f t="shared" si="3"/>
        <v>18</v>
      </c>
      <c r="C81">
        <f t="shared" si="4"/>
        <v>80</v>
      </c>
      <c r="D81" t="str" cm="1">
        <f t="array" aca="1" ref="D81" ca="1">INDIRECT("'Uke "&amp;B81&amp;"'!V"&amp;9+C81)</f>
        <v/>
      </c>
      <c r="E81" s="20" t="str" cm="1">
        <f t="array" aca="1" ref="E81" ca="1">INDIRECT("'Uke "&amp;B81&amp;"'!AB"&amp;9+C81)</f>
        <v/>
      </c>
    </row>
    <row r="82" spans="1:5" x14ac:dyDescent="0.25">
      <c r="A82">
        <f t="shared" si="5"/>
        <v>2461</v>
      </c>
      <c r="B82">
        <f t="shared" si="3"/>
        <v>18</v>
      </c>
      <c r="C82">
        <f t="shared" si="4"/>
        <v>81</v>
      </c>
      <c r="D82" t="str" cm="1">
        <f t="array" aca="1" ref="D82" ca="1">INDIRECT("'Uke "&amp;B82&amp;"'!V"&amp;9+C82)</f>
        <v/>
      </c>
      <c r="E82" s="20" t="str" cm="1">
        <f t="array" aca="1" ref="E82" ca="1">INDIRECT("'Uke "&amp;B82&amp;"'!AB"&amp;9+C82)</f>
        <v/>
      </c>
    </row>
    <row r="83" spans="1:5" x14ac:dyDescent="0.25">
      <c r="A83">
        <f t="shared" si="5"/>
        <v>2462</v>
      </c>
      <c r="B83">
        <f t="shared" si="3"/>
        <v>18</v>
      </c>
      <c r="C83">
        <f t="shared" si="4"/>
        <v>82</v>
      </c>
      <c r="D83" t="str" cm="1">
        <f t="array" aca="1" ref="D83" ca="1">INDIRECT("'Uke "&amp;B83&amp;"'!V"&amp;9+C83)</f>
        <v/>
      </c>
      <c r="E83" s="20" t="str" cm="1">
        <f t="array" aca="1" ref="E83" ca="1">INDIRECT("'Uke "&amp;B83&amp;"'!AB"&amp;9+C83)</f>
        <v/>
      </c>
    </row>
    <row r="84" spans="1:5" x14ac:dyDescent="0.25">
      <c r="A84">
        <f t="shared" si="5"/>
        <v>2463</v>
      </c>
      <c r="B84">
        <f t="shared" si="3"/>
        <v>18</v>
      </c>
      <c r="C84">
        <f t="shared" si="4"/>
        <v>83</v>
      </c>
      <c r="D84" t="str" cm="1">
        <f t="array" aca="1" ref="D84" ca="1">INDIRECT("'Uke "&amp;B84&amp;"'!V"&amp;9+C84)</f>
        <v/>
      </c>
      <c r="E84" s="20" t="str" cm="1">
        <f t="array" aca="1" ref="E84" ca="1">INDIRECT("'Uke "&amp;B84&amp;"'!AB"&amp;9+C84)</f>
        <v/>
      </c>
    </row>
    <row r="85" spans="1:5" x14ac:dyDescent="0.25">
      <c r="A85">
        <f t="shared" si="5"/>
        <v>2464</v>
      </c>
      <c r="B85">
        <f t="shared" si="3"/>
        <v>18</v>
      </c>
      <c r="C85">
        <f t="shared" si="4"/>
        <v>84</v>
      </c>
      <c r="D85" t="str" cm="1">
        <f t="array" aca="1" ref="D85" ca="1">INDIRECT("'Uke "&amp;B85&amp;"'!V"&amp;9+C85)</f>
        <v/>
      </c>
      <c r="E85" s="20" t="str" cm="1">
        <f t="array" aca="1" ref="E85" ca="1">INDIRECT("'Uke "&amp;B85&amp;"'!AB"&amp;9+C85)</f>
        <v/>
      </c>
    </row>
    <row r="86" spans="1:5" x14ac:dyDescent="0.25">
      <c r="A86">
        <f t="shared" si="5"/>
        <v>2465</v>
      </c>
      <c r="B86">
        <f t="shared" si="3"/>
        <v>18</v>
      </c>
      <c r="C86">
        <f t="shared" si="4"/>
        <v>85</v>
      </c>
      <c r="D86" t="str" cm="1">
        <f t="array" aca="1" ref="D86" ca="1">INDIRECT("'Uke "&amp;B86&amp;"'!V"&amp;9+C86)</f>
        <v/>
      </c>
      <c r="E86" s="20" t="str" cm="1">
        <f t="array" aca="1" ref="E86" ca="1">INDIRECT("'Uke "&amp;B86&amp;"'!AB"&amp;9+C86)</f>
        <v/>
      </c>
    </row>
    <row r="87" spans="1:5" x14ac:dyDescent="0.25">
      <c r="A87">
        <f t="shared" si="5"/>
        <v>2466</v>
      </c>
      <c r="B87">
        <f t="shared" si="3"/>
        <v>18</v>
      </c>
      <c r="C87">
        <f t="shared" si="4"/>
        <v>86</v>
      </c>
      <c r="D87" t="str" cm="1">
        <f t="array" aca="1" ref="D87" ca="1">INDIRECT("'Uke "&amp;B87&amp;"'!V"&amp;9+C87)</f>
        <v/>
      </c>
      <c r="E87" s="20" t="str" cm="1">
        <f t="array" aca="1" ref="E87" ca="1">INDIRECT("'Uke "&amp;B87&amp;"'!AB"&amp;9+C87)</f>
        <v/>
      </c>
    </row>
    <row r="88" spans="1:5" x14ac:dyDescent="0.25">
      <c r="A88">
        <f t="shared" si="5"/>
        <v>2467</v>
      </c>
      <c r="B88">
        <f t="shared" si="3"/>
        <v>18</v>
      </c>
      <c r="C88">
        <f t="shared" si="4"/>
        <v>87</v>
      </c>
      <c r="D88" t="str" cm="1">
        <f t="array" aca="1" ref="D88" ca="1">INDIRECT("'Uke "&amp;B88&amp;"'!V"&amp;9+C88)</f>
        <v/>
      </c>
      <c r="E88" s="20" t="str" cm="1">
        <f t="array" aca="1" ref="E88" ca="1">INDIRECT("'Uke "&amp;B88&amp;"'!AB"&amp;9+C88)</f>
        <v/>
      </c>
    </row>
    <row r="89" spans="1:5" x14ac:dyDescent="0.25">
      <c r="A89">
        <f t="shared" si="5"/>
        <v>2468</v>
      </c>
      <c r="B89">
        <f t="shared" si="3"/>
        <v>18</v>
      </c>
      <c r="C89">
        <f t="shared" si="4"/>
        <v>88</v>
      </c>
      <c r="D89" t="str" cm="1">
        <f t="array" aca="1" ref="D89" ca="1">INDIRECT("'Uke "&amp;B89&amp;"'!V"&amp;9+C89)</f>
        <v/>
      </c>
      <c r="E89" s="20" t="str" cm="1">
        <f t="array" aca="1" ref="E89" ca="1">INDIRECT("'Uke "&amp;B89&amp;"'!AB"&amp;9+C89)</f>
        <v/>
      </c>
    </row>
    <row r="90" spans="1:5" x14ac:dyDescent="0.25">
      <c r="A90">
        <f t="shared" si="5"/>
        <v>2469</v>
      </c>
      <c r="B90">
        <f t="shared" si="3"/>
        <v>18</v>
      </c>
      <c r="C90">
        <f t="shared" si="4"/>
        <v>89</v>
      </c>
      <c r="D90" t="str" cm="1">
        <f t="array" aca="1" ref="D90" ca="1">INDIRECT("'Uke "&amp;B90&amp;"'!V"&amp;9+C90)</f>
        <v/>
      </c>
      <c r="E90" s="20" t="str" cm="1">
        <f t="array" aca="1" ref="E90" ca="1">INDIRECT("'Uke "&amp;B90&amp;"'!AB"&amp;9+C90)</f>
        <v/>
      </c>
    </row>
    <row r="91" spans="1:5" x14ac:dyDescent="0.25">
      <c r="A91">
        <f t="shared" si="5"/>
        <v>2470</v>
      </c>
      <c r="B91">
        <f t="shared" si="3"/>
        <v>18</v>
      </c>
      <c r="C91">
        <f t="shared" si="4"/>
        <v>90</v>
      </c>
      <c r="D91" t="str" cm="1">
        <f t="array" aca="1" ref="D91" ca="1">INDIRECT("'Uke "&amp;B91&amp;"'!V"&amp;9+C91)</f>
        <v/>
      </c>
      <c r="E91" s="20" t="str" cm="1">
        <f t="array" aca="1" ref="E91" ca="1">INDIRECT("'Uke "&amp;B91&amp;"'!AB"&amp;9+C91)</f>
        <v/>
      </c>
    </row>
    <row r="92" spans="1:5" x14ac:dyDescent="0.25">
      <c r="A92">
        <f t="shared" si="5"/>
        <v>2471</v>
      </c>
      <c r="B92">
        <f t="shared" si="3"/>
        <v>18</v>
      </c>
      <c r="C92">
        <f t="shared" si="4"/>
        <v>91</v>
      </c>
      <c r="D92" t="str" cm="1">
        <f t="array" aca="1" ref="D92" ca="1">INDIRECT("'Uke "&amp;B92&amp;"'!V"&amp;9+C92)</f>
        <v/>
      </c>
      <c r="E92" s="20" t="str" cm="1">
        <f t="array" aca="1" ref="E92" ca="1">INDIRECT("'Uke "&amp;B92&amp;"'!AB"&amp;9+C92)</f>
        <v/>
      </c>
    </row>
    <row r="93" spans="1:5" x14ac:dyDescent="0.25">
      <c r="A93">
        <f t="shared" si="5"/>
        <v>2472</v>
      </c>
      <c r="B93">
        <f t="shared" si="3"/>
        <v>18</v>
      </c>
      <c r="C93">
        <f t="shared" si="4"/>
        <v>92</v>
      </c>
      <c r="D93" t="str" cm="1">
        <f t="array" aca="1" ref="D93" ca="1">INDIRECT("'Uke "&amp;B93&amp;"'!V"&amp;9+C93)</f>
        <v/>
      </c>
      <c r="E93" s="20" t="str" cm="1">
        <f t="array" aca="1" ref="E93" ca="1">INDIRECT("'Uke "&amp;B93&amp;"'!AB"&amp;9+C93)</f>
        <v/>
      </c>
    </row>
    <row r="94" spans="1:5" x14ac:dyDescent="0.25">
      <c r="A94">
        <f t="shared" si="5"/>
        <v>2473</v>
      </c>
      <c r="B94">
        <f t="shared" si="3"/>
        <v>18</v>
      </c>
      <c r="C94">
        <f t="shared" si="4"/>
        <v>93</v>
      </c>
      <c r="D94" t="str" cm="1">
        <f t="array" aca="1" ref="D94" ca="1">INDIRECT("'Uke "&amp;B94&amp;"'!V"&amp;9+C94)</f>
        <v/>
      </c>
      <c r="E94" s="20" t="str" cm="1">
        <f t="array" aca="1" ref="E94" ca="1">INDIRECT("'Uke "&amp;B94&amp;"'!AB"&amp;9+C94)</f>
        <v/>
      </c>
    </row>
    <row r="95" spans="1:5" x14ac:dyDescent="0.25">
      <c r="A95">
        <f t="shared" si="5"/>
        <v>2474</v>
      </c>
      <c r="B95">
        <f t="shared" si="3"/>
        <v>18</v>
      </c>
      <c r="C95">
        <f t="shared" si="4"/>
        <v>94</v>
      </c>
      <c r="D95" t="str" cm="1">
        <f t="array" aca="1" ref="D95" ca="1">INDIRECT("'Uke "&amp;B95&amp;"'!V"&amp;9+C95)</f>
        <v/>
      </c>
      <c r="E95" s="20" t="str" cm="1">
        <f t="array" aca="1" ref="E95" ca="1">INDIRECT("'Uke "&amp;B95&amp;"'!AB"&amp;9+C95)</f>
        <v/>
      </c>
    </row>
    <row r="96" spans="1:5" x14ac:dyDescent="0.25">
      <c r="A96">
        <f t="shared" si="5"/>
        <v>2475</v>
      </c>
      <c r="B96">
        <f t="shared" si="3"/>
        <v>18</v>
      </c>
      <c r="C96">
        <f t="shared" si="4"/>
        <v>95</v>
      </c>
      <c r="D96" t="str" cm="1">
        <f t="array" aca="1" ref="D96" ca="1">INDIRECT("'Uke "&amp;B96&amp;"'!V"&amp;9+C96)</f>
        <v/>
      </c>
      <c r="E96" s="20" t="str" cm="1">
        <f t="array" aca="1" ref="E96" ca="1">INDIRECT("'Uke "&amp;B96&amp;"'!AB"&amp;9+C96)</f>
        <v/>
      </c>
    </row>
    <row r="97" spans="1:5" x14ac:dyDescent="0.25">
      <c r="A97">
        <f t="shared" si="5"/>
        <v>2476</v>
      </c>
      <c r="B97">
        <f t="shared" si="3"/>
        <v>18</v>
      </c>
      <c r="C97">
        <f t="shared" si="4"/>
        <v>96</v>
      </c>
      <c r="D97" t="str" cm="1">
        <f t="array" aca="1" ref="D97" ca="1">INDIRECT("'Uke "&amp;B97&amp;"'!V"&amp;9+C97)</f>
        <v/>
      </c>
      <c r="E97" s="20" t="str" cm="1">
        <f t="array" aca="1" ref="E97" ca="1">INDIRECT("'Uke "&amp;B97&amp;"'!AB"&amp;9+C97)</f>
        <v/>
      </c>
    </row>
    <row r="98" spans="1:5" x14ac:dyDescent="0.25">
      <c r="A98">
        <f t="shared" si="5"/>
        <v>2477</v>
      </c>
      <c r="B98">
        <f t="shared" si="3"/>
        <v>18</v>
      </c>
      <c r="C98">
        <f t="shared" si="4"/>
        <v>97</v>
      </c>
      <c r="D98" t="str" cm="1">
        <f t="array" aca="1" ref="D98" ca="1">INDIRECT("'Uke "&amp;B98&amp;"'!V"&amp;9+C98)</f>
        <v/>
      </c>
      <c r="E98" s="20" t="str" cm="1">
        <f t="array" aca="1" ref="E98" ca="1">INDIRECT("'Uke "&amp;B98&amp;"'!AB"&amp;9+C98)</f>
        <v/>
      </c>
    </row>
    <row r="99" spans="1:5" x14ac:dyDescent="0.25">
      <c r="A99">
        <f t="shared" si="5"/>
        <v>2478</v>
      </c>
      <c r="B99">
        <f t="shared" si="3"/>
        <v>18</v>
      </c>
      <c r="C99">
        <f t="shared" si="4"/>
        <v>98</v>
      </c>
      <c r="D99" t="str" cm="1">
        <f t="array" aca="1" ref="D99" ca="1">INDIRECT("'Uke "&amp;B99&amp;"'!V"&amp;9+C99)</f>
        <v/>
      </c>
      <c r="E99" s="20" t="str" cm="1">
        <f t="array" aca="1" ref="E99" ca="1">INDIRECT("'Uke "&amp;B99&amp;"'!AB"&amp;9+C99)</f>
        <v/>
      </c>
    </row>
    <row r="100" spans="1:5" x14ac:dyDescent="0.25">
      <c r="A100">
        <f t="shared" si="5"/>
        <v>2479</v>
      </c>
      <c r="B100">
        <f t="shared" si="3"/>
        <v>18</v>
      </c>
      <c r="C100">
        <f t="shared" si="4"/>
        <v>99</v>
      </c>
      <c r="D100" t="str" cm="1">
        <f t="array" aca="1" ref="D100" ca="1">INDIRECT("'Uke "&amp;B100&amp;"'!V"&amp;9+C100)</f>
        <v/>
      </c>
      <c r="E100" s="20" t="str" cm="1">
        <f t="array" aca="1" ref="E100" ca="1">INDIRECT("'Uke "&amp;B100&amp;"'!AB"&amp;9+C100)</f>
        <v/>
      </c>
    </row>
    <row r="101" spans="1:5" x14ac:dyDescent="0.25">
      <c r="A101">
        <f t="shared" si="5"/>
        <v>2480</v>
      </c>
      <c r="B101">
        <f t="shared" si="3"/>
        <v>18</v>
      </c>
      <c r="C101">
        <f t="shared" si="4"/>
        <v>100</v>
      </c>
      <c r="D101" t="str" cm="1">
        <f t="array" aca="1" ref="D101" ca="1">INDIRECT("'Uke "&amp;B101&amp;"'!V"&amp;9+C101)</f>
        <v/>
      </c>
      <c r="E101" s="20" t="str" cm="1">
        <f t="array" aca="1" ref="E101" ca="1">INDIRECT("'Uke "&amp;B101&amp;"'!AB"&amp;9+C101)</f>
        <v/>
      </c>
    </row>
    <row r="102" spans="1:5" x14ac:dyDescent="0.25">
      <c r="A102">
        <f t="shared" si="5"/>
        <v>2481</v>
      </c>
      <c r="B102">
        <f t="shared" si="3"/>
        <v>18</v>
      </c>
      <c r="C102">
        <f t="shared" si="4"/>
        <v>101</v>
      </c>
      <c r="D102" t="str" cm="1">
        <f t="array" aca="1" ref="D102" ca="1">INDIRECT("'Uke "&amp;B102&amp;"'!V"&amp;9+C102)</f>
        <v/>
      </c>
      <c r="E102" s="20" t="str" cm="1">
        <f t="array" aca="1" ref="E102" ca="1">INDIRECT("'Uke "&amp;B102&amp;"'!AB"&amp;9+C102)</f>
        <v/>
      </c>
    </row>
    <row r="103" spans="1:5" x14ac:dyDescent="0.25">
      <c r="A103">
        <f t="shared" si="5"/>
        <v>2482</v>
      </c>
      <c r="B103">
        <f t="shared" si="3"/>
        <v>18</v>
      </c>
      <c r="C103">
        <f t="shared" si="4"/>
        <v>102</v>
      </c>
      <c r="D103" t="str" cm="1">
        <f t="array" aca="1" ref="D103" ca="1">INDIRECT("'Uke "&amp;B103&amp;"'!V"&amp;9+C103)</f>
        <v/>
      </c>
      <c r="E103" s="20" t="str" cm="1">
        <f t="array" aca="1" ref="E103" ca="1">INDIRECT("'Uke "&amp;B103&amp;"'!AB"&amp;9+C103)</f>
        <v/>
      </c>
    </row>
    <row r="104" spans="1:5" x14ac:dyDescent="0.25">
      <c r="A104">
        <f t="shared" si="5"/>
        <v>2483</v>
      </c>
      <c r="B104">
        <f t="shared" si="3"/>
        <v>18</v>
      </c>
      <c r="C104">
        <f t="shared" si="4"/>
        <v>103</v>
      </c>
      <c r="D104" t="str" cm="1">
        <f t="array" aca="1" ref="D104" ca="1">INDIRECT("'Uke "&amp;B104&amp;"'!V"&amp;9+C104)</f>
        <v/>
      </c>
      <c r="E104" s="20" t="str" cm="1">
        <f t="array" aca="1" ref="E104" ca="1">INDIRECT("'Uke "&amp;B104&amp;"'!AB"&amp;9+C104)</f>
        <v/>
      </c>
    </row>
    <row r="105" spans="1:5" x14ac:dyDescent="0.25">
      <c r="A105">
        <f t="shared" si="5"/>
        <v>2484</v>
      </c>
      <c r="B105">
        <f t="shared" si="3"/>
        <v>18</v>
      </c>
      <c r="C105">
        <f t="shared" si="4"/>
        <v>104</v>
      </c>
      <c r="D105" t="str" cm="1">
        <f t="array" aca="1" ref="D105" ca="1">INDIRECT("'Uke "&amp;B105&amp;"'!V"&amp;9+C105)</f>
        <v/>
      </c>
      <c r="E105" s="20" t="str" cm="1">
        <f t="array" aca="1" ref="E105" ca="1">INDIRECT("'Uke "&amp;B105&amp;"'!AB"&amp;9+C105)</f>
        <v/>
      </c>
    </row>
    <row r="106" spans="1:5" x14ac:dyDescent="0.25">
      <c r="A106">
        <f t="shared" si="5"/>
        <v>2485</v>
      </c>
      <c r="B106">
        <f t="shared" si="3"/>
        <v>18</v>
      </c>
      <c r="C106">
        <f t="shared" si="4"/>
        <v>105</v>
      </c>
      <c r="D106" t="str" cm="1">
        <f t="array" aca="1" ref="D106" ca="1">INDIRECT("'Uke "&amp;B106&amp;"'!V"&amp;9+C106)</f>
        <v/>
      </c>
      <c r="E106" s="20" t="str" cm="1">
        <f t="array" aca="1" ref="E106" ca="1">INDIRECT("'Uke "&amp;B106&amp;"'!AB"&amp;9+C106)</f>
        <v/>
      </c>
    </row>
    <row r="107" spans="1:5" x14ac:dyDescent="0.25">
      <c r="A107">
        <f t="shared" si="5"/>
        <v>2486</v>
      </c>
      <c r="B107">
        <f t="shared" si="3"/>
        <v>18</v>
      </c>
      <c r="C107">
        <f t="shared" si="4"/>
        <v>106</v>
      </c>
      <c r="D107" t="str" cm="1">
        <f t="array" aca="1" ref="D107" ca="1">INDIRECT("'Uke "&amp;B107&amp;"'!V"&amp;9+C107)</f>
        <v/>
      </c>
      <c r="E107" s="20" t="str" cm="1">
        <f t="array" aca="1" ref="E107" ca="1">INDIRECT("'Uke "&amp;B107&amp;"'!AB"&amp;9+C107)</f>
        <v/>
      </c>
    </row>
    <row r="108" spans="1:5" x14ac:dyDescent="0.25">
      <c r="A108">
        <f t="shared" si="5"/>
        <v>2487</v>
      </c>
      <c r="B108">
        <f t="shared" si="3"/>
        <v>18</v>
      </c>
      <c r="C108">
        <f t="shared" si="4"/>
        <v>107</v>
      </c>
      <c r="D108" t="str" cm="1">
        <f t="array" aca="1" ref="D108" ca="1">INDIRECT("'Uke "&amp;B108&amp;"'!V"&amp;9+C108)</f>
        <v/>
      </c>
      <c r="E108" s="20" t="str" cm="1">
        <f t="array" aca="1" ref="E108" ca="1">INDIRECT("'Uke "&amp;B108&amp;"'!AB"&amp;9+C108)</f>
        <v/>
      </c>
    </row>
    <row r="109" spans="1:5" x14ac:dyDescent="0.25">
      <c r="A109">
        <f t="shared" si="5"/>
        <v>2488</v>
      </c>
      <c r="B109">
        <f t="shared" si="3"/>
        <v>18</v>
      </c>
      <c r="C109">
        <f t="shared" si="4"/>
        <v>108</v>
      </c>
      <c r="D109" t="str" cm="1">
        <f t="array" aca="1" ref="D109" ca="1">INDIRECT("'Uke "&amp;B109&amp;"'!V"&amp;9+C109)</f>
        <v/>
      </c>
      <c r="E109" s="20" t="str" cm="1">
        <f t="array" aca="1" ref="E109" ca="1">INDIRECT("'Uke "&amp;B109&amp;"'!AB"&amp;9+C109)</f>
        <v/>
      </c>
    </row>
    <row r="110" spans="1:5" x14ac:dyDescent="0.25">
      <c r="A110">
        <f t="shared" si="5"/>
        <v>2489</v>
      </c>
      <c r="B110">
        <f t="shared" si="3"/>
        <v>18</v>
      </c>
      <c r="C110">
        <f t="shared" si="4"/>
        <v>109</v>
      </c>
      <c r="D110" t="str" cm="1">
        <f t="array" aca="1" ref="D110" ca="1">INDIRECT("'Uke "&amp;B110&amp;"'!V"&amp;9+C110)</f>
        <v/>
      </c>
      <c r="E110" s="20" t="str" cm="1">
        <f t="array" aca="1" ref="E110" ca="1">INDIRECT("'Uke "&amp;B110&amp;"'!AB"&amp;9+C110)</f>
        <v/>
      </c>
    </row>
    <row r="111" spans="1:5" x14ac:dyDescent="0.25">
      <c r="A111">
        <f t="shared" si="5"/>
        <v>2490</v>
      </c>
      <c r="B111">
        <f t="shared" si="3"/>
        <v>18</v>
      </c>
      <c r="C111">
        <f t="shared" si="4"/>
        <v>110</v>
      </c>
      <c r="D111" t="str" cm="1">
        <f t="array" aca="1" ref="D111" ca="1">INDIRECT("'Uke "&amp;B111&amp;"'!V"&amp;9+C111)</f>
        <v/>
      </c>
      <c r="E111" s="20" t="str" cm="1">
        <f t="array" aca="1" ref="E111" ca="1">INDIRECT("'Uke "&amp;B111&amp;"'!AB"&amp;9+C111)</f>
        <v/>
      </c>
    </row>
    <row r="112" spans="1:5" x14ac:dyDescent="0.25">
      <c r="A112">
        <f t="shared" si="5"/>
        <v>2491</v>
      </c>
      <c r="B112">
        <f t="shared" si="3"/>
        <v>18</v>
      </c>
      <c r="C112">
        <f t="shared" si="4"/>
        <v>111</v>
      </c>
      <c r="D112" t="str" cm="1">
        <f t="array" aca="1" ref="D112" ca="1">INDIRECT("'Uke "&amp;B112&amp;"'!V"&amp;9+C112)</f>
        <v/>
      </c>
      <c r="E112" s="20" t="str" cm="1">
        <f t="array" aca="1" ref="E112" ca="1">INDIRECT("'Uke "&amp;B112&amp;"'!AB"&amp;9+C112)</f>
        <v/>
      </c>
    </row>
    <row r="113" spans="1:5" x14ac:dyDescent="0.25">
      <c r="A113">
        <f t="shared" si="5"/>
        <v>2492</v>
      </c>
      <c r="B113">
        <f t="shared" si="3"/>
        <v>18</v>
      </c>
      <c r="C113">
        <f t="shared" si="4"/>
        <v>112</v>
      </c>
      <c r="D113" t="str" cm="1">
        <f t="array" aca="1" ref="D113" ca="1">INDIRECT("'Uke "&amp;B113&amp;"'!V"&amp;9+C113)</f>
        <v/>
      </c>
      <c r="E113" s="20" t="str" cm="1">
        <f t="array" aca="1" ref="E113" ca="1">INDIRECT("'Uke "&amp;B113&amp;"'!AB"&amp;9+C113)</f>
        <v/>
      </c>
    </row>
    <row r="114" spans="1:5" x14ac:dyDescent="0.25">
      <c r="A114">
        <f t="shared" si="5"/>
        <v>2493</v>
      </c>
      <c r="B114">
        <f t="shared" si="3"/>
        <v>18</v>
      </c>
      <c r="C114">
        <f t="shared" si="4"/>
        <v>113</v>
      </c>
      <c r="D114" t="str" cm="1">
        <f t="array" aca="1" ref="D114" ca="1">INDIRECT("'Uke "&amp;B114&amp;"'!V"&amp;9+C114)</f>
        <v/>
      </c>
      <c r="E114" s="20" t="str" cm="1">
        <f t="array" aca="1" ref="E114" ca="1">INDIRECT("'Uke "&amp;B114&amp;"'!AB"&amp;9+C114)</f>
        <v/>
      </c>
    </row>
    <row r="115" spans="1:5" x14ac:dyDescent="0.25">
      <c r="A115">
        <f t="shared" si="5"/>
        <v>2494</v>
      </c>
      <c r="B115">
        <f t="shared" si="3"/>
        <v>18</v>
      </c>
      <c r="C115">
        <f t="shared" si="4"/>
        <v>114</v>
      </c>
      <c r="D115" t="str" cm="1">
        <f t="array" aca="1" ref="D115" ca="1">INDIRECT("'Uke "&amp;B115&amp;"'!V"&amp;9+C115)</f>
        <v/>
      </c>
      <c r="E115" s="20" t="str" cm="1">
        <f t="array" aca="1" ref="E115" ca="1">INDIRECT("'Uke "&amp;B115&amp;"'!AB"&amp;9+C115)</f>
        <v/>
      </c>
    </row>
    <row r="116" spans="1:5" x14ac:dyDescent="0.25">
      <c r="A116">
        <f t="shared" si="5"/>
        <v>2495</v>
      </c>
      <c r="B116">
        <f t="shared" si="3"/>
        <v>18</v>
      </c>
      <c r="C116">
        <f t="shared" si="4"/>
        <v>115</v>
      </c>
      <c r="D116" t="str" cm="1">
        <f t="array" aca="1" ref="D116" ca="1">INDIRECT("'Uke "&amp;B116&amp;"'!V"&amp;9+C116)</f>
        <v/>
      </c>
      <c r="E116" s="20" t="str" cm="1">
        <f t="array" aca="1" ref="E116" ca="1">INDIRECT("'Uke "&amp;B116&amp;"'!AB"&amp;9+C116)</f>
        <v/>
      </c>
    </row>
    <row r="117" spans="1:5" x14ac:dyDescent="0.25">
      <c r="A117">
        <f t="shared" si="5"/>
        <v>2496</v>
      </c>
      <c r="B117">
        <f t="shared" si="3"/>
        <v>18</v>
      </c>
      <c r="C117">
        <f t="shared" si="4"/>
        <v>116</v>
      </c>
      <c r="D117" t="str" cm="1">
        <f t="array" aca="1" ref="D117" ca="1">INDIRECT("'Uke "&amp;B117&amp;"'!V"&amp;9+C117)</f>
        <v/>
      </c>
      <c r="E117" s="20" t="str" cm="1">
        <f t="array" aca="1" ref="E117" ca="1">INDIRECT("'Uke "&amp;B117&amp;"'!AB"&amp;9+C117)</f>
        <v/>
      </c>
    </row>
    <row r="118" spans="1:5" x14ac:dyDescent="0.25">
      <c r="A118">
        <f t="shared" si="5"/>
        <v>2497</v>
      </c>
      <c r="B118">
        <f t="shared" si="3"/>
        <v>18</v>
      </c>
      <c r="C118">
        <f t="shared" si="4"/>
        <v>117</v>
      </c>
      <c r="D118" t="str" cm="1">
        <f t="array" aca="1" ref="D118" ca="1">INDIRECT("'Uke "&amp;B118&amp;"'!V"&amp;9+C118)</f>
        <v/>
      </c>
      <c r="E118" s="20" t="str" cm="1">
        <f t="array" aca="1" ref="E118" ca="1">INDIRECT("'Uke "&amp;B118&amp;"'!AB"&amp;9+C118)</f>
        <v/>
      </c>
    </row>
    <row r="119" spans="1:5" x14ac:dyDescent="0.25">
      <c r="A119">
        <f t="shared" si="5"/>
        <v>2498</v>
      </c>
      <c r="B119">
        <f t="shared" si="3"/>
        <v>18</v>
      </c>
      <c r="C119">
        <f t="shared" si="4"/>
        <v>118</v>
      </c>
      <c r="D119" t="str" cm="1">
        <f t="array" aca="1" ref="D119" ca="1">INDIRECT("'Uke "&amp;B119&amp;"'!V"&amp;9+C119)</f>
        <v/>
      </c>
      <c r="E119" s="20" t="str" cm="1">
        <f t="array" aca="1" ref="E119" ca="1">INDIRECT("'Uke "&amp;B119&amp;"'!AB"&amp;9+C119)</f>
        <v/>
      </c>
    </row>
    <row r="120" spans="1:5" x14ac:dyDescent="0.25">
      <c r="A120">
        <f t="shared" si="5"/>
        <v>2499</v>
      </c>
      <c r="B120">
        <f t="shared" si="3"/>
        <v>18</v>
      </c>
      <c r="C120">
        <f t="shared" si="4"/>
        <v>119</v>
      </c>
      <c r="D120" t="str" cm="1">
        <f t="array" aca="1" ref="D120" ca="1">INDIRECT("'Uke "&amp;B120&amp;"'!V"&amp;9+C120)</f>
        <v/>
      </c>
      <c r="E120" s="20" t="str" cm="1">
        <f t="array" aca="1" ref="E120" ca="1">INDIRECT("'Uke "&amp;B120&amp;"'!AB"&amp;9+C120)</f>
        <v/>
      </c>
    </row>
    <row r="121" spans="1:5" x14ac:dyDescent="0.25">
      <c r="A121">
        <f t="shared" si="5"/>
        <v>2500</v>
      </c>
      <c r="B121">
        <f t="shared" si="3"/>
        <v>18</v>
      </c>
      <c r="C121">
        <f t="shared" si="4"/>
        <v>120</v>
      </c>
      <c r="D121" t="str" cm="1">
        <f t="array" aca="1" ref="D121" ca="1">INDIRECT("'Uke "&amp;B121&amp;"'!V"&amp;9+C121)</f>
        <v/>
      </c>
      <c r="E121" s="20" t="str" cm="1">
        <f t="array" aca="1" ref="E121" ca="1">INDIRECT("'Uke "&amp;B121&amp;"'!AB"&amp;9+C121)</f>
        <v/>
      </c>
    </row>
    <row r="122" spans="1:5" x14ac:dyDescent="0.25">
      <c r="A122">
        <f t="shared" si="5"/>
        <v>2501</v>
      </c>
      <c r="B122">
        <f t="shared" si="3"/>
        <v>18</v>
      </c>
      <c r="C122">
        <f t="shared" si="4"/>
        <v>121</v>
      </c>
      <c r="D122" t="str" cm="1">
        <f t="array" aca="1" ref="D122" ca="1">INDIRECT("'Uke "&amp;B122&amp;"'!V"&amp;9+C122)</f>
        <v/>
      </c>
      <c r="E122" s="20" t="str" cm="1">
        <f t="array" aca="1" ref="E122" ca="1">INDIRECT("'Uke "&amp;B122&amp;"'!AB"&amp;9+C122)</f>
        <v/>
      </c>
    </row>
    <row r="123" spans="1:5" x14ac:dyDescent="0.25">
      <c r="A123">
        <f t="shared" si="5"/>
        <v>2502</v>
      </c>
      <c r="B123">
        <f t="shared" si="3"/>
        <v>18</v>
      </c>
      <c r="C123">
        <f t="shared" si="4"/>
        <v>122</v>
      </c>
      <c r="D123" t="str" cm="1">
        <f t="array" aca="1" ref="D123" ca="1">INDIRECT("'Uke "&amp;B123&amp;"'!V"&amp;9+C123)</f>
        <v/>
      </c>
      <c r="E123" s="20" t="str" cm="1">
        <f t="array" aca="1" ref="E123" ca="1">INDIRECT("'Uke "&amp;B123&amp;"'!AB"&amp;9+C123)</f>
        <v/>
      </c>
    </row>
    <row r="124" spans="1:5" x14ac:dyDescent="0.25">
      <c r="A124">
        <f t="shared" si="5"/>
        <v>2503</v>
      </c>
      <c r="B124">
        <f t="shared" si="3"/>
        <v>18</v>
      </c>
      <c r="C124">
        <f t="shared" si="4"/>
        <v>123</v>
      </c>
      <c r="D124" t="str" cm="1">
        <f t="array" aca="1" ref="D124" ca="1">INDIRECT("'Uke "&amp;B124&amp;"'!V"&amp;9+C124)</f>
        <v/>
      </c>
      <c r="E124" s="20" t="str" cm="1">
        <f t="array" aca="1" ref="E124" ca="1">INDIRECT("'Uke "&amp;B124&amp;"'!AB"&amp;9+C124)</f>
        <v/>
      </c>
    </row>
    <row r="125" spans="1:5" x14ac:dyDescent="0.25">
      <c r="A125">
        <f t="shared" si="5"/>
        <v>2504</v>
      </c>
      <c r="B125">
        <f t="shared" si="3"/>
        <v>18</v>
      </c>
      <c r="C125">
        <f t="shared" si="4"/>
        <v>124</v>
      </c>
      <c r="D125" t="str" cm="1">
        <f t="array" aca="1" ref="D125" ca="1">INDIRECT("'Uke "&amp;B125&amp;"'!V"&amp;9+C125)</f>
        <v/>
      </c>
      <c r="E125" s="20" t="str" cm="1">
        <f t="array" aca="1" ref="E125" ca="1">INDIRECT("'Uke "&amp;B125&amp;"'!AB"&amp;9+C125)</f>
        <v/>
      </c>
    </row>
    <row r="126" spans="1:5" x14ac:dyDescent="0.25">
      <c r="A126">
        <f t="shared" si="5"/>
        <v>2505</v>
      </c>
      <c r="B126">
        <f t="shared" si="3"/>
        <v>18</v>
      </c>
      <c r="C126">
        <f t="shared" si="4"/>
        <v>125</v>
      </c>
      <c r="D126" t="str" cm="1">
        <f t="array" aca="1" ref="D126" ca="1">INDIRECT("'Uke "&amp;B126&amp;"'!V"&amp;9+C126)</f>
        <v/>
      </c>
      <c r="E126" s="20" t="str" cm="1">
        <f t="array" aca="1" ref="E126" ca="1">INDIRECT("'Uke "&amp;B126&amp;"'!AB"&amp;9+C126)</f>
        <v/>
      </c>
    </row>
    <row r="127" spans="1:5" x14ac:dyDescent="0.25">
      <c r="A127">
        <f t="shared" si="5"/>
        <v>2506</v>
      </c>
      <c r="B127">
        <f t="shared" si="3"/>
        <v>18</v>
      </c>
      <c r="C127">
        <f t="shared" si="4"/>
        <v>126</v>
      </c>
      <c r="D127" t="str" cm="1">
        <f t="array" aca="1" ref="D127" ca="1">INDIRECT("'Uke "&amp;B127&amp;"'!V"&amp;9+C127)</f>
        <v/>
      </c>
      <c r="E127" s="20" t="str" cm="1">
        <f t="array" aca="1" ref="E127" ca="1">INDIRECT("'Uke "&amp;B127&amp;"'!AB"&amp;9+C127)</f>
        <v/>
      </c>
    </row>
    <row r="128" spans="1:5" x14ac:dyDescent="0.25">
      <c r="A128">
        <f t="shared" si="5"/>
        <v>2507</v>
      </c>
      <c r="B128">
        <f t="shared" si="3"/>
        <v>18</v>
      </c>
      <c r="C128">
        <f t="shared" si="4"/>
        <v>127</v>
      </c>
      <c r="D128" t="str" cm="1">
        <f t="array" aca="1" ref="D128" ca="1">INDIRECT("'Uke "&amp;B128&amp;"'!V"&amp;9+C128)</f>
        <v/>
      </c>
      <c r="E128" s="20" t="str" cm="1">
        <f t="array" aca="1" ref="E128" ca="1">INDIRECT("'Uke "&amp;B128&amp;"'!AB"&amp;9+C128)</f>
        <v/>
      </c>
    </row>
    <row r="129" spans="1:5" x14ac:dyDescent="0.25">
      <c r="A129">
        <f t="shared" si="5"/>
        <v>2508</v>
      </c>
      <c r="B129">
        <f t="shared" si="3"/>
        <v>18</v>
      </c>
      <c r="C129">
        <f t="shared" si="4"/>
        <v>128</v>
      </c>
      <c r="D129" t="str" cm="1">
        <f t="array" aca="1" ref="D129" ca="1">INDIRECT("'Uke "&amp;B129&amp;"'!V"&amp;9+C129)</f>
        <v/>
      </c>
      <c r="E129" s="20" t="str" cm="1">
        <f t="array" aca="1" ref="E129" ca="1">INDIRECT("'Uke "&amp;B129&amp;"'!AB"&amp;9+C129)</f>
        <v/>
      </c>
    </row>
    <row r="130" spans="1:5" x14ac:dyDescent="0.25">
      <c r="A130">
        <f t="shared" si="5"/>
        <v>2509</v>
      </c>
      <c r="B130">
        <f t="shared" si="3"/>
        <v>18</v>
      </c>
      <c r="C130">
        <f t="shared" si="4"/>
        <v>129</v>
      </c>
      <c r="D130" t="str" cm="1">
        <f t="array" aca="1" ref="D130" ca="1">INDIRECT("'Uke "&amp;B130&amp;"'!V"&amp;9+C130)</f>
        <v/>
      </c>
      <c r="E130" s="20" t="str" cm="1">
        <f t="array" aca="1" ref="E130" ca="1">INDIRECT("'Uke "&amp;B130&amp;"'!AB"&amp;9+C130)</f>
        <v/>
      </c>
    </row>
    <row r="131" spans="1:5" x14ac:dyDescent="0.25">
      <c r="A131">
        <f t="shared" si="5"/>
        <v>2510</v>
      </c>
      <c r="B131">
        <f t="shared" ref="B131:B194" si="6">INT((A131-1)/140)+1</f>
        <v>18</v>
      </c>
      <c r="C131">
        <f t="shared" ref="C131:C194" si="7">MOD(A131-1,140)+1</f>
        <v>130</v>
      </c>
      <c r="D131" t="str" cm="1">
        <f t="array" aca="1" ref="D131" ca="1">INDIRECT("'Uke "&amp;B131&amp;"'!V"&amp;9+C131)</f>
        <v/>
      </c>
      <c r="E131" s="20" t="str" cm="1">
        <f t="array" aca="1" ref="E131" ca="1">INDIRECT("'Uke "&amp;B131&amp;"'!AB"&amp;9+C131)</f>
        <v/>
      </c>
    </row>
    <row r="132" spans="1:5" x14ac:dyDescent="0.25">
      <c r="A132">
        <f t="shared" ref="A132:A195" si="8">A131+1</f>
        <v>2511</v>
      </c>
      <c r="B132">
        <f t="shared" si="6"/>
        <v>18</v>
      </c>
      <c r="C132">
        <f t="shared" si="7"/>
        <v>131</v>
      </c>
      <c r="D132" t="str" cm="1">
        <f t="array" aca="1" ref="D132" ca="1">INDIRECT("'Uke "&amp;B132&amp;"'!V"&amp;9+C132)</f>
        <v/>
      </c>
      <c r="E132" s="20" t="str" cm="1">
        <f t="array" aca="1" ref="E132" ca="1">INDIRECT("'Uke "&amp;B132&amp;"'!AB"&amp;9+C132)</f>
        <v/>
      </c>
    </row>
    <row r="133" spans="1:5" x14ac:dyDescent="0.25">
      <c r="A133">
        <f t="shared" si="8"/>
        <v>2512</v>
      </c>
      <c r="B133">
        <f t="shared" si="6"/>
        <v>18</v>
      </c>
      <c r="C133">
        <f t="shared" si="7"/>
        <v>132</v>
      </c>
      <c r="D133" t="str" cm="1">
        <f t="array" aca="1" ref="D133" ca="1">INDIRECT("'Uke "&amp;B133&amp;"'!V"&amp;9+C133)</f>
        <v/>
      </c>
      <c r="E133" s="20" t="str" cm="1">
        <f t="array" aca="1" ref="E133" ca="1">INDIRECT("'Uke "&amp;B133&amp;"'!AB"&amp;9+C133)</f>
        <v/>
      </c>
    </row>
    <row r="134" spans="1:5" x14ac:dyDescent="0.25">
      <c r="A134">
        <f t="shared" si="8"/>
        <v>2513</v>
      </c>
      <c r="B134">
        <f t="shared" si="6"/>
        <v>18</v>
      </c>
      <c r="C134">
        <f t="shared" si="7"/>
        <v>133</v>
      </c>
      <c r="D134" t="str" cm="1">
        <f t="array" aca="1" ref="D134" ca="1">INDIRECT("'Uke "&amp;B134&amp;"'!V"&amp;9+C134)</f>
        <v/>
      </c>
      <c r="E134" s="20" t="str" cm="1">
        <f t="array" aca="1" ref="E134" ca="1">INDIRECT("'Uke "&amp;B134&amp;"'!AB"&amp;9+C134)</f>
        <v/>
      </c>
    </row>
    <row r="135" spans="1:5" x14ac:dyDescent="0.25">
      <c r="A135">
        <f t="shared" si="8"/>
        <v>2514</v>
      </c>
      <c r="B135">
        <f t="shared" si="6"/>
        <v>18</v>
      </c>
      <c r="C135">
        <f t="shared" si="7"/>
        <v>134</v>
      </c>
      <c r="D135" t="str" cm="1">
        <f t="array" aca="1" ref="D135" ca="1">INDIRECT("'Uke "&amp;B135&amp;"'!V"&amp;9+C135)</f>
        <v/>
      </c>
      <c r="E135" s="20" t="str" cm="1">
        <f t="array" aca="1" ref="E135" ca="1">INDIRECT("'Uke "&amp;B135&amp;"'!AB"&amp;9+C135)</f>
        <v/>
      </c>
    </row>
    <row r="136" spans="1:5" x14ac:dyDescent="0.25">
      <c r="A136">
        <f t="shared" si="8"/>
        <v>2515</v>
      </c>
      <c r="B136">
        <f t="shared" si="6"/>
        <v>18</v>
      </c>
      <c r="C136">
        <f t="shared" si="7"/>
        <v>135</v>
      </c>
      <c r="D136" t="str" cm="1">
        <f t="array" aca="1" ref="D136" ca="1">INDIRECT("'Uke "&amp;B136&amp;"'!V"&amp;9+C136)</f>
        <v/>
      </c>
      <c r="E136" s="20" t="str" cm="1">
        <f t="array" aca="1" ref="E136" ca="1">INDIRECT("'Uke "&amp;B136&amp;"'!AB"&amp;9+C136)</f>
        <v/>
      </c>
    </row>
    <row r="137" spans="1:5" x14ac:dyDescent="0.25">
      <c r="A137">
        <f t="shared" si="8"/>
        <v>2516</v>
      </c>
      <c r="B137">
        <f t="shared" si="6"/>
        <v>18</v>
      </c>
      <c r="C137">
        <f t="shared" si="7"/>
        <v>136</v>
      </c>
      <c r="D137" t="str" cm="1">
        <f t="array" aca="1" ref="D137" ca="1">INDIRECT("'Uke "&amp;B137&amp;"'!V"&amp;9+C137)</f>
        <v/>
      </c>
      <c r="E137" s="20" t="str" cm="1">
        <f t="array" aca="1" ref="E137" ca="1">INDIRECT("'Uke "&amp;B137&amp;"'!AB"&amp;9+C137)</f>
        <v/>
      </c>
    </row>
    <row r="138" spans="1:5" x14ac:dyDescent="0.25">
      <c r="A138">
        <f t="shared" si="8"/>
        <v>2517</v>
      </c>
      <c r="B138">
        <f t="shared" si="6"/>
        <v>18</v>
      </c>
      <c r="C138">
        <f t="shared" si="7"/>
        <v>137</v>
      </c>
      <c r="D138" t="str" cm="1">
        <f t="array" aca="1" ref="D138" ca="1">INDIRECT("'Uke "&amp;B138&amp;"'!V"&amp;9+C138)</f>
        <v/>
      </c>
      <c r="E138" s="20" t="str" cm="1">
        <f t="array" aca="1" ref="E138" ca="1">INDIRECT("'Uke "&amp;B138&amp;"'!AB"&amp;9+C138)</f>
        <v/>
      </c>
    </row>
    <row r="139" spans="1:5" x14ac:dyDescent="0.25">
      <c r="A139">
        <f t="shared" si="8"/>
        <v>2518</v>
      </c>
      <c r="B139">
        <f t="shared" si="6"/>
        <v>18</v>
      </c>
      <c r="C139">
        <f t="shared" si="7"/>
        <v>138</v>
      </c>
      <c r="D139" t="str" cm="1">
        <f t="array" aca="1" ref="D139" ca="1">INDIRECT("'Uke "&amp;B139&amp;"'!V"&amp;9+C139)</f>
        <v/>
      </c>
      <c r="E139" s="20" t="str" cm="1">
        <f t="array" aca="1" ref="E139" ca="1">INDIRECT("'Uke "&amp;B139&amp;"'!AB"&amp;9+C139)</f>
        <v/>
      </c>
    </row>
    <row r="140" spans="1:5" x14ac:dyDescent="0.25">
      <c r="A140">
        <f t="shared" si="8"/>
        <v>2519</v>
      </c>
      <c r="B140">
        <f t="shared" si="6"/>
        <v>18</v>
      </c>
      <c r="C140">
        <f t="shared" si="7"/>
        <v>139</v>
      </c>
      <c r="D140" t="str" cm="1">
        <f t="array" aca="1" ref="D140" ca="1">INDIRECT("'Uke "&amp;B140&amp;"'!V"&amp;9+C140)</f>
        <v/>
      </c>
      <c r="E140" s="20" t="str" cm="1">
        <f t="array" aca="1" ref="E140" ca="1">INDIRECT("'Uke "&amp;B140&amp;"'!AB"&amp;9+C140)</f>
        <v/>
      </c>
    </row>
    <row r="141" spans="1:5" x14ac:dyDescent="0.25">
      <c r="A141">
        <f t="shared" si="8"/>
        <v>2520</v>
      </c>
      <c r="B141">
        <f t="shared" si="6"/>
        <v>18</v>
      </c>
      <c r="C141">
        <f t="shared" si="7"/>
        <v>140</v>
      </c>
      <c r="D141" t="str" cm="1">
        <f t="array" aca="1" ref="D141" ca="1">INDIRECT("'Uke "&amp;B141&amp;"'!V"&amp;9+C141)</f>
        <v/>
      </c>
      <c r="E141" s="20" t="str" cm="1">
        <f t="array" aca="1" ref="E141" ca="1">INDIRECT("'Uke "&amp;B141&amp;"'!AB"&amp;9+C141)</f>
        <v/>
      </c>
    </row>
    <row r="142" spans="1:5" x14ac:dyDescent="0.25">
      <c r="A142">
        <f t="shared" si="8"/>
        <v>2521</v>
      </c>
      <c r="B142">
        <f t="shared" si="6"/>
        <v>19</v>
      </c>
      <c r="C142">
        <f t="shared" si="7"/>
        <v>1</v>
      </c>
      <c r="D142" t="e" cm="1">
        <f t="array" aca="1" ref="D142" ca="1">INDIRECT("'Uke "&amp;B142&amp;"'!V"&amp;9+C142)</f>
        <v>#REF!</v>
      </c>
      <c r="E142" s="20" t="e" cm="1">
        <f t="array" aca="1" ref="E142" ca="1">INDIRECT("'Uke "&amp;B142&amp;"'!AB"&amp;9+C142)</f>
        <v>#REF!</v>
      </c>
    </row>
    <row r="143" spans="1:5" x14ac:dyDescent="0.25">
      <c r="A143">
        <f t="shared" si="8"/>
        <v>2522</v>
      </c>
      <c r="B143">
        <f t="shared" si="6"/>
        <v>19</v>
      </c>
      <c r="C143">
        <f t="shared" si="7"/>
        <v>2</v>
      </c>
      <c r="D143" t="e" cm="1">
        <f t="array" aca="1" ref="D143" ca="1">INDIRECT("'Uke "&amp;B143&amp;"'!V"&amp;9+C143)</f>
        <v>#REF!</v>
      </c>
      <c r="E143" s="20" t="e" cm="1">
        <f t="array" aca="1" ref="E143" ca="1">INDIRECT("'Uke "&amp;B143&amp;"'!AB"&amp;9+C143)</f>
        <v>#REF!</v>
      </c>
    </row>
    <row r="144" spans="1:5" x14ac:dyDescent="0.25">
      <c r="A144">
        <f t="shared" si="8"/>
        <v>2523</v>
      </c>
      <c r="B144">
        <f t="shared" si="6"/>
        <v>19</v>
      </c>
      <c r="C144">
        <f t="shared" si="7"/>
        <v>3</v>
      </c>
      <c r="D144" t="e" cm="1">
        <f t="array" aca="1" ref="D144" ca="1">INDIRECT("'Uke "&amp;B144&amp;"'!V"&amp;9+C144)</f>
        <v>#REF!</v>
      </c>
      <c r="E144" s="20" t="e" cm="1">
        <f t="array" aca="1" ref="E144" ca="1">INDIRECT("'Uke "&amp;B144&amp;"'!AB"&amp;9+C144)</f>
        <v>#REF!</v>
      </c>
    </row>
    <row r="145" spans="1:5" x14ac:dyDescent="0.25">
      <c r="A145">
        <f t="shared" si="8"/>
        <v>2524</v>
      </c>
      <c r="B145">
        <f t="shared" si="6"/>
        <v>19</v>
      </c>
      <c r="C145">
        <f t="shared" si="7"/>
        <v>4</v>
      </c>
      <c r="D145" t="e" cm="1">
        <f t="array" aca="1" ref="D145" ca="1">INDIRECT("'Uke "&amp;B145&amp;"'!V"&amp;9+C145)</f>
        <v>#REF!</v>
      </c>
      <c r="E145" s="20" t="e" cm="1">
        <f t="array" aca="1" ref="E145" ca="1">INDIRECT("'Uke "&amp;B145&amp;"'!AB"&amp;9+C145)</f>
        <v>#REF!</v>
      </c>
    </row>
    <row r="146" spans="1:5" x14ac:dyDescent="0.25">
      <c r="A146">
        <f t="shared" si="8"/>
        <v>2525</v>
      </c>
      <c r="B146">
        <f t="shared" si="6"/>
        <v>19</v>
      </c>
      <c r="C146">
        <f t="shared" si="7"/>
        <v>5</v>
      </c>
      <c r="D146" t="e" cm="1">
        <f t="array" aca="1" ref="D146" ca="1">INDIRECT("'Uke "&amp;B146&amp;"'!V"&amp;9+C146)</f>
        <v>#REF!</v>
      </c>
      <c r="E146" s="20" t="e" cm="1">
        <f t="array" aca="1" ref="E146" ca="1">INDIRECT("'Uke "&amp;B146&amp;"'!AB"&amp;9+C146)</f>
        <v>#REF!</v>
      </c>
    </row>
    <row r="147" spans="1:5" x14ac:dyDescent="0.25">
      <c r="A147">
        <f t="shared" si="8"/>
        <v>2526</v>
      </c>
      <c r="B147">
        <f t="shared" si="6"/>
        <v>19</v>
      </c>
      <c r="C147">
        <f t="shared" si="7"/>
        <v>6</v>
      </c>
      <c r="D147" t="e" cm="1">
        <f t="array" aca="1" ref="D147" ca="1">INDIRECT("'Uke "&amp;B147&amp;"'!V"&amp;9+C147)</f>
        <v>#REF!</v>
      </c>
      <c r="E147" s="20" t="e" cm="1">
        <f t="array" aca="1" ref="E147" ca="1">INDIRECT("'Uke "&amp;B147&amp;"'!AB"&amp;9+C147)</f>
        <v>#REF!</v>
      </c>
    </row>
    <row r="148" spans="1:5" x14ac:dyDescent="0.25">
      <c r="A148">
        <f t="shared" si="8"/>
        <v>2527</v>
      </c>
      <c r="B148">
        <f t="shared" si="6"/>
        <v>19</v>
      </c>
      <c r="C148">
        <f t="shared" si="7"/>
        <v>7</v>
      </c>
      <c r="D148" t="e" cm="1">
        <f t="array" aca="1" ref="D148" ca="1">INDIRECT("'Uke "&amp;B148&amp;"'!V"&amp;9+C148)</f>
        <v>#REF!</v>
      </c>
      <c r="E148" s="20" t="e" cm="1">
        <f t="array" aca="1" ref="E148" ca="1">INDIRECT("'Uke "&amp;B148&amp;"'!AB"&amp;9+C148)</f>
        <v>#REF!</v>
      </c>
    </row>
    <row r="149" spans="1:5" x14ac:dyDescent="0.25">
      <c r="A149">
        <f t="shared" si="8"/>
        <v>2528</v>
      </c>
      <c r="B149">
        <f t="shared" si="6"/>
        <v>19</v>
      </c>
      <c r="C149">
        <f t="shared" si="7"/>
        <v>8</v>
      </c>
      <c r="D149" t="e" cm="1">
        <f t="array" aca="1" ref="D149" ca="1">INDIRECT("'Uke "&amp;B149&amp;"'!V"&amp;9+C149)</f>
        <v>#REF!</v>
      </c>
      <c r="E149" s="20" t="e" cm="1">
        <f t="array" aca="1" ref="E149" ca="1">INDIRECT("'Uke "&amp;B149&amp;"'!AB"&amp;9+C149)</f>
        <v>#REF!</v>
      </c>
    </row>
    <row r="150" spans="1:5" x14ac:dyDescent="0.25">
      <c r="A150">
        <f t="shared" si="8"/>
        <v>2529</v>
      </c>
      <c r="B150">
        <f t="shared" si="6"/>
        <v>19</v>
      </c>
      <c r="C150">
        <f t="shared" si="7"/>
        <v>9</v>
      </c>
      <c r="D150" t="e" cm="1">
        <f t="array" aca="1" ref="D150" ca="1">INDIRECT("'Uke "&amp;B150&amp;"'!V"&amp;9+C150)</f>
        <v>#REF!</v>
      </c>
      <c r="E150" s="20" t="e" cm="1">
        <f t="array" aca="1" ref="E150" ca="1">INDIRECT("'Uke "&amp;B150&amp;"'!AB"&amp;9+C150)</f>
        <v>#REF!</v>
      </c>
    </row>
    <row r="151" spans="1:5" x14ac:dyDescent="0.25">
      <c r="A151">
        <f t="shared" si="8"/>
        <v>2530</v>
      </c>
      <c r="B151">
        <f t="shared" si="6"/>
        <v>19</v>
      </c>
      <c r="C151">
        <f t="shared" si="7"/>
        <v>10</v>
      </c>
      <c r="D151" t="e" cm="1">
        <f t="array" aca="1" ref="D151" ca="1">INDIRECT("'Uke "&amp;B151&amp;"'!V"&amp;9+C151)</f>
        <v>#REF!</v>
      </c>
      <c r="E151" s="20" t="e" cm="1">
        <f t="array" aca="1" ref="E151" ca="1">INDIRECT("'Uke "&amp;B151&amp;"'!AB"&amp;9+C151)</f>
        <v>#REF!</v>
      </c>
    </row>
    <row r="152" spans="1:5" x14ac:dyDescent="0.25">
      <c r="A152">
        <f t="shared" si="8"/>
        <v>2531</v>
      </c>
      <c r="B152">
        <f t="shared" si="6"/>
        <v>19</v>
      </c>
      <c r="C152">
        <f t="shared" si="7"/>
        <v>11</v>
      </c>
      <c r="D152" t="e" cm="1">
        <f t="array" aca="1" ref="D152" ca="1">INDIRECT("'Uke "&amp;B152&amp;"'!V"&amp;9+C152)</f>
        <v>#REF!</v>
      </c>
      <c r="E152" s="20" t="e" cm="1">
        <f t="array" aca="1" ref="E152" ca="1">INDIRECT("'Uke "&amp;B152&amp;"'!AB"&amp;9+C152)</f>
        <v>#REF!</v>
      </c>
    </row>
    <row r="153" spans="1:5" x14ac:dyDescent="0.25">
      <c r="A153">
        <f t="shared" si="8"/>
        <v>2532</v>
      </c>
      <c r="B153">
        <f t="shared" si="6"/>
        <v>19</v>
      </c>
      <c r="C153">
        <f t="shared" si="7"/>
        <v>12</v>
      </c>
      <c r="D153" t="e" cm="1">
        <f t="array" aca="1" ref="D153" ca="1">INDIRECT("'Uke "&amp;B153&amp;"'!V"&amp;9+C153)</f>
        <v>#REF!</v>
      </c>
      <c r="E153" s="20" t="e" cm="1">
        <f t="array" aca="1" ref="E153" ca="1">INDIRECT("'Uke "&amp;B153&amp;"'!AB"&amp;9+C153)</f>
        <v>#REF!</v>
      </c>
    </row>
    <row r="154" spans="1:5" x14ac:dyDescent="0.25">
      <c r="A154">
        <f t="shared" si="8"/>
        <v>2533</v>
      </c>
      <c r="B154">
        <f t="shared" si="6"/>
        <v>19</v>
      </c>
      <c r="C154">
        <f t="shared" si="7"/>
        <v>13</v>
      </c>
      <c r="D154" t="e" cm="1">
        <f t="array" aca="1" ref="D154" ca="1">INDIRECT("'Uke "&amp;B154&amp;"'!V"&amp;9+C154)</f>
        <v>#REF!</v>
      </c>
      <c r="E154" s="20" t="e" cm="1">
        <f t="array" aca="1" ref="E154" ca="1">INDIRECT("'Uke "&amp;B154&amp;"'!AB"&amp;9+C154)</f>
        <v>#REF!</v>
      </c>
    </row>
    <row r="155" spans="1:5" x14ac:dyDescent="0.25">
      <c r="A155">
        <f t="shared" si="8"/>
        <v>2534</v>
      </c>
      <c r="B155">
        <f t="shared" si="6"/>
        <v>19</v>
      </c>
      <c r="C155">
        <f t="shared" si="7"/>
        <v>14</v>
      </c>
      <c r="D155" t="e" cm="1">
        <f t="array" aca="1" ref="D155" ca="1">INDIRECT("'Uke "&amp;B155&amp;"'!V"&amp;9+C155)</f>
        <v>#REF!</v>
      </c>
      <c r="E155" s="20" t="e" cm="1">
        <f t="array" aca="1" ref="E155" ca="1">INDIRECT("'Uke "&amp;B155&amp;"'!AB"&amp;9+C155)</f>
        <v>#REF!</v>
      </c>
    </row>
    <row r="156" spans="1:5" x14ac:dyDescent="0.25">
      <c r="A156">
        <f t="shared" si="8"/>
        <v>2535</v>
      </c>
      <c r="B156">
        <f t="shared" si="6"/>
        <v>19</v>
      </c>
      <c r="C156">
        <f t="shared" si="7"/>
        <v>15</v>
      </c>
      <c r="D156" t="e" cm="1">
        <f t="array" aca="1" ref="D156" ca="1">INDIRECT("'Uke "&amp;B156&amp;"'!V"&amp;9+C156)</f>
        <v>#REF!</v>
      </c>
      <c r="E156" s="20" t="e" cm="1">
        <f t="array" aca="1" ref="E156" ca="1">INDIRECT("'Uke "&amp;B156&amp;"'!AB"&amp;9+C156)</f>
        <v>#REF!</v>
      </c>
    </row>
    <row r="157" spans="1:5" x14ac:dyDescent="0.25">
      <c r="A157">
        <f t="shared" si="8"/>
        <v>2536</v>
      </c>
      <c r="B157">
        <f t="shared" si="6"/>
        <v>19</v>
      </c>
      <c r="C157">
        <f t="shared" si="7"/>
        <v>16</v>
      </c>
      <c r="D157" t="e" cm="1">
        <f t="array" aca="1" ref="D157" ca="1">INDIRECT("'Uke "&amp;B157&amp;"'!V"&amp;9+C157)</f>
        <v>#REF!</v>
      </c>
      <c r="E157" s="20" t="e" cm="1">
        <f t="array" aca="1" ref="E157" ca="1">INDIRECT("'Uke "&amp;B157&amp;"'!AB"&amp;9+C157)</f>
        <v>#REF!</v>
      </c>
    </row>
    <row r="158" spans="1:5" x14ac:dyDescent="0.25">
      <c r="A158">
        <f t="shared" si="8"/>
        <v>2537</v>
      </c>
      <c r="B158">
        <f t="shared" si="6"/>
        <v>19</v>
      </c>
      <c r="C158">
        <f t="shared" si="7"/>
        <v>17</v>
      </c>
      <c r="D158" t="e" cm="1">
        <f t="array" aca="1" ref="D158" ca="1">INDIRECT("'Uke "&amp;B158&amp;"'!V"&amp;9+C158)</f>
        <v>#REF!</v>
      </c>
      <c r="E158" s="20" t="e" cm="1">
        <f t="array" aca="1" ref="E158" ca="1">INDIRECT("'Uke "&amp;B158&amp;"'!AB"&amp;9+C158)</f>
        <v>#REF!</v>
      </c>
    </row>
    <row r="159" spans="1:5" x14ac:dyDescent="0.25">
      <c r="A159">
        <f t="shared" si="8"/>
        <v>2538</v>
      </c>
      <c r="B159">
        <f t="shared" si="6"/>
        <v>19</v>
      </c>
      <c r="C159">
        <f t="shared" si="7"/>
        <v>18</v>
      </c>
      <c r="D159" t="e" cm="1">
        <f t="array" aca="1" ref="D159" ca="1">INDIRECT("'Uke "&amp;B159&amp;"'!V"&amp;9+C159)</f>
        <v>#REF!</v>
      </c>
      <c r="E159" s="20" t="e" cm="1">
        <f t="array" aca="1" ref="E159" ca="1">INDIRECT("'Uke "&amp;B159&amp;"'!AB"&amp;9+C159)</f>
        <v>#REF!</v>
      </c>
    </row>
    <row r="160" spans="1:5" x14ac:dyDescent="0.25">
      <c r="A160">
        <f t="shared" si="8"/>
        <v>2539</v>
      </c>
      <c r="B160">
        <f t="shared" si="6"/>
        <v>19</v>
      </c>
      <c r="C160">
        <f t="shared" si="7"/>
        <v>19</v>
      </c>
      <c r="D160" t="e" cm="1">
        <f t="array" aca="1" ref="D160" ca="1">INDIRECT("'Uke "&amp;B160&amp;"'!V"&amp;9+C160)</f>
        <v>#REF!</v>
      </c>
      <c r="E160" s="20" t="e" cm="1">
        <f t="array" aca="1" ref="E160" ca="1">INDIRECT("'Uke "&amp;B160&amp;"'!AB"&amp;9+C160)</f>
        <v>#REF!</v>
      </c>
    </row>
    <row r="161" spans="1:5" x14ac:dyDescent="0.25">
      <c r="A161">
        <f t="shared" si="8"/>
        <v>2540</v>
      </c>
      <c r="B161">
        <f t="shared" si="6"/>
        <v>19</v>
      </c>
      <c r="C161">
        <f t="shared" si="7"/>
        <v>20</v>
      </c>
      <c r="D161" t="e" cm="1">
        <f t="array" aca="1" ref="D161" ca="1">INDIRECT("'Uke "&amp;B161&amp;"'!V"&amp;9+C161)</f>
        <v>#REF!</v>
      </c>
      <c r="E161" s="20" t="e" cm="1">
        <f t="array" aca="1" ref="E161" ca="1">INDIRECT("'Uke "&amp;B161&amp;"'!AB"&amp;9+C161)</f>
        <v>#REF!</v>
      </c>
    </row>
    <row r="162" spans="1:5" x14ac:dyDescent="0.25">
      <c r="A162">
        <f t="shared" si="8"/>
        <v>2541</v>
      </c>
      <c r="B162">
        <f t="shared" si="6"/>
        <v>19</v>
      </c>
      <c r="C162">
        <f t="shared" si="7"/>
        <v>21</v>
      </c>
      <c r="D162" t="e" cm="1">
        <f t="array" aca="1" ref="D162" ca="1">INDIRECT("'Uke "&amp;B162&amp;"'!V"&amp;9+C162)</f>
        <v>#REF!</v>
      </c>
      <c r="E162" s="20" t="e" cm="1">
        <f t="array" aca="1" ref="E162" ca="1">INDIRECT("'Uke "&amp;B162&amp;"'!AB"&amp;9+C162)</f>
        <v>#REF!</v>
      </c>
    </row>
    <row r="163" spans="1:5" x14ac:dyDescent="0.25">
      <c r="A163">
        <f t="shared" si="8"/>
        <v>2542</v>
      </c>
      <c r="B163">
        <f t="shared" si="6"/>
        <v>19</v>
      </c>
      <c r="C163">
        <f t="shared" si="7"/>
        <v>22</v>
      </c>
      <c r="D163" t="e" cm="1">
        <f t="array" aca="1" ref="D163" ca="1">INDIRECT("'Uke "&amp;B163&amp;"'!V"&amp;9+C163)</f>
        <v>#REF!</v>
      </c>
      <c r="E163" s="20" t="e" cm="1">
        <f t="array" aca="1" ref="E163" ca="1">INDIRECT("'Uke "&amp;B163&amp;"'!AB"&amp;9+C163)</f>
        <v>#REF!</v>
      </c>
    </row>
    <row r="164" spans="1:5" x14ac:dyDescent="0.25">
      <c r="A164">
        <f t="shared" si="8"/>
        <v>2543</v>
      </c>
      <c r="B164">
        <f t="shared" si="6"/>
        <v>19</v>
      </c>
      <c r="C164">
        <f t="shared" si="7"/>
        <v>23</v>
      </c>
      <c r="D164" t="e" cm="1">
        <f t="array" aca="1" ref="D164" ca="1">INDIRECT("'Uke "&amp;B164&amp;"'!V"&amp;9+C164)</f>
        <v>#REF!</v>
      </c>
      <c r="E164" s="20" t="e" cm="1">
        <f t="array" aca="1" ref="E164" ca="1">INDIRECT("'Uke "&amp;B164&amp;"'!AB"&amp;9+C164)</f>
        <v>#REF!</v>
      </c>
    </row>
    <row r="165" spans="1:5" x14ac:dyDescent="0.25">
      <c r="A165">
        <f t="shared" si="8"/>
        <v>2544</v>
      </c>
      <c r="B165">
        <f t="shared" si="6"/>
        <v>19</v>
      </c>
      <c r="C165">
        <f t="shared" si="7"/>
        <v>24</v>
      </c>
      <c r="D165" t="e" cm="1">
        <f t="array" aca="1" ref="D165" ca="1">INDIRECT("'Uke "&amp;B165&amp;"'!V"&amp;9+C165)</f>
        <v>#REF!</v>
      </c>
      <c r="E165" s="20" t="e" cm="1">
        <f t="array" aca="1" ref="E165" ca="1">INDIRECT("'Uke "&amp;B165&amp;"'!AB"&amp;9+C165)</f>
        <v>#REF!</v>
      </c>
    </row>
    <row r="166" spans="1:5" x14ac:dyDescent="0.25">
      <c r="A166">
        <f t="shared" si="8"/>
        <v>2545</v>
      </c>
      <c r="B166">
        <f t="shared" si="6"/>
        <v>19</v>
      </c>
      <c r="C166">
        <f t="shared" si="7"/>
        <v>25</v>
      </c>
      <c r="D166" t="e" cm="1">
        <f t="array" aca="1" ref="D166" ca="1">INDIRECT("'Uke "&amp;B166&amp;"'!V"&amp;9+C166)</f>
        <v>#REF!</v>
      </c>
      <c r="E166" s="20" t="e" cm="1">
        <f t="array" aca="1" ref="E166" ca="1">INDIRECT("'Uke "&amp;B166&amp;"'!AB"&amp;9+C166)</f>
        <v>#REF!</v>
      </c>
    </row>
    <row r="167" spans="1:5" x14ac:dyDescent="0.25">
      <c r="A167">
        <f t="shared" si="8"/>
        <v>2546</v>
      </c>
      <c r="B167">
        <f t="shared" si="6"/>
        <v>19</v>
      </c>
      <c r="C167">
        <f t="shared" si="7"/>
        <v>26</v>
      </c>
      <c r="D167" t="e" cm="1">
        <f t="array" aca="1" ref="D167" ca="1">INDIRECT("'Uke "&amp;B167&amp;"'!V"&amp;9+C167)</f>
        <v>#REF!</v>
      </c>
      <c r="E167" s="20" t="e" cm="1">
        <f t="array" aca="1" ref="E167" ca="1">INDIRECT("'Uke "&amp;B167&amp;"'!AB"&amp;9+C167)</f>
        <v>#REF!</v>
      </c>
    </row>
    <row r="168" spans="1:5" x14ac:dyDescent="0.25">
      <c r="A168">
        <f t="shared" si="8"/>
        <v>2547</v>
      </c>
      <c r="B168">
        <f t="shared" si="6"/>
        <v>19</v>
      </c>
      <c r="C168">
        <f t="shared" si="7"/>
        <v>27</v>
      </c>
      <c r="D168" t="e" cm="1">
        <f t="array" aca="1" ref="D168" ca="1">INDIRECT("'Uke "&amp;B168&amp;"'!V"&amp;9+C168)</f>
        <v>#REF!</v>
      </c>
      <c r="E168" s="20" t="e" cm="1">
        <f t="array" aca="1" ref="E168" ca="1">INDIRECT("'Uke "&amp;B168&amp;"'!AB"&amp;9+C168)</f>
        <v>#REF!</v>
      </c>
    </row>
    <row r="169" spans="1:5" x14ac:dyDescent="0.25">
      <c r="A169">
        <f t="shared" si="8"/>
        <v>2548</v>
      </c>
      <c r="B169">
        <f t="shared" si="6"/>
        <v>19</v>
      </c>
      <c r="C169">
        <f t="shared" si="7"/>
        <v>28</v>
      </c>
      <c r="D169" t="e" cm="1">
        <f t="array" aca="1" ref="D169" ca="1">INDIRECT("'Uke "&amp;B169&amp;"'!V"&amp;9+C169)</f>
        <v>#REF!</v>
      </c>
      <c r="E169" s="20" t="e" cm="1">
        <f t="array" aca="1" ref="E169" ca="1">INDIRECT("'Uke "&amp;B169&amp;"'!AB"&amp;9+C169)</f>
        <v>#REF!</v>
      </c>
    </row>
    <row r="170" spans="1:5" x14ac:dyDescent="0.25">
      <c r="A170">
        <f t="shared" si="8"/>
        <v>2549</v>
      </c>
      <c r="B170">
        <f t="shared" si="6"/>
        <v>19</v>
      </c>
      <c r="C170">
        <f t="shared" si="7"/>
        <v>29</v>
      </c>
      <c r="D170" t="e" cm="1">
        <f t="array" aca="1" ref="D170" ca="1">INDIRECT("'Uke "&amp;B170&amp;"'!V"&amp;9+C170)</f>
        <v>#REF!</v>
      </c>
      <c r="E170" s="20" t="e" cm="1">
        <f t="array" aca="1" ref="E170" ca="1">INDIRECT("'Uke "&amp;B170&amp;"'!AB"&amp;9+C170)</f>
        <v>#REF!</v>
      </c>
    </row>
    <row r="171" spans="1:5" x14ac:dyDescent="0.25">
      <c r="A171">
        <f t="shared" si="8"/>
        <v>2550</v>
      </c>
      <c r="B171">
        <f t="shared" si="6"/>
        <v>19</v>
      </c>
      <c r="C171">
        <f t="shared" si="7"/>
        <v>30</v>
      </c>
      <c r="D171" t="e" cm="1">
        <f t="array" aca="1" ref="D171" ca="1">INDIRECT("'Uke "&amp;B171&amp;"'!V"&amp;9+C171)</f>
        <v>#REF!</v>
      </c>
      <c r="E171" s="20" t="e" cm="1">
        <f t="array" aca="1" ref="E171" ca="1">INDIRECT("'Uke "&amp;B171&amp;"'!AB"&amp;9+C171)</f>
        <v>#REF!</v>
      </c>
    </row>
    <row r="172" spans="1:5" x14ac:dyDescent="0.25">
      <c r="A172">
        <f t="shared" si="8"/>
        <v>2551</v>
      </c>
      <c r="B172">
        <f t="shared" si="6"/>
        <v>19</v>
      </c>
      <c r="C172">
        <f t="shared" si="7"/>
        <v>31</v>
      </c>
      <c r="D172" t="e" cm="1">
        <f t="array" aca="1" ref="D172" ca="1">INDIRECT("'Uke "&amp;B172&amp;"'!V"&amp;9+C172)</f>
        <v>#REF!</v>
      </c>
      <c r="E172" s="20" t="e" cm="1">
        <f t="array" aca="1" ref="E172" ca="1">INDIRECT("'Uke "&amp;B172&amp;"'!AB"&amp;9+C172)</f>
        <v>#REF!</v>
      </c>
    </row>
    <row r="173" spans="1:5" x14ac:dyDescent="0.25">
      <c r="A173">
        <f t="shared" si="8"/>
        <v>2552</v>
      </c>
      <c r="B173">
        <f t="shared" si="6"/>
        <v>19</v>
      </c>
      <c r="C173">
        <f t="shared" si="7"/>
        <v>32</v>
      </c>
      <c r="D173" t="e" cm="1">
        <f t="array" aca="1" ref="D173" ca="1">INDIRECT("'Uke "&amp;B173&amp;"'!V"&amp;9+C173)</f>
        <v>#REF!</v>
      </c>
      <c r="E173" s="20" t="e" cm="1">
        <f t="array" aca="1" ref="E173" ca="1">INDIRECT("'Uke "&amp;B173&amp;"'!AB"&amp;9+C173)</f>
        <v>#REF!</v>
      </c>
    </row>
    <row r="174" spans="1:5" x14ac:dyDescent="0.25">
      <c r="A174">
        <f t="shared" si="8"/>
        <v>2553</v>
      </c>
      <c r="B174">
        <f t="shared" si="6"/>
        <v>19</v>
      </c>
      <c r="C174">
        <f t="shared" si="7"/>
        <v>33</v>
      </c>
      <c r="D174" t="e" cm="1">
        <f t="array" aca="1" ref="D174" ca="1">INDIRECT("'Uke "&amp;B174&amp;"'!V"&amp;9+C174)</f>
        <v>#REF!</v>
      </c>
      <c r="E174" s="20" t="e" cm="1">
        <f t="array" aca="1" ref="E174" ca="1">INDIRECT("'Uke "&amp;B174&amp;"'!AB"&amp;9+C174)</f>
        <v>#REF!</v>
      </c>
    </row>
    <row r="175" spans="1:5" x14ac:dyDescent="0.25">
      <c r="A175">
        <f t="shared" si="8"/>
        <v>2554</v>
      </c>
      <c r="B175">
        <f t="shared" si="6"/>
        <v>19</v>
      </c>
      <c r="C175">
        <f t="shared" si="7"/>
        <v>34</v>
      </c>
      <c r="D175" t="e" cm="1">
        <f t="array" aca="1" ref="D175" ca="1">INDIRECT("'Uke "&amp;B175&amp;"'!V"&amp;9+C175)</f>
        <v>#REF!</v>
      </c>
      <c r="E175" s="20" t="e" cm="1">
        <f t="array" aca="1" ref="E175" ca="1">INDIRECT("'Uke "&amp;B175&amp;"'!AB"&amp;9+C175)</f>
        <v>#REF!</v>
      </c>
    </row>
    <row r="176" spans="1:5" x14ac:dyDescent="0.25">
      <c r="A176">
        <f t="shared" si="8"/>
        <v>2555</v>
      </c>
      <c r="B176">
        <f t="shared" si="6"/>
        <v>19</v>
      </c>
      <c r="C176">
        <f t="shared" si="7"/>
        <v>35</v>
      </c>
      <c r="D176" t="e" cm="1">
        <f t="array" aca="1" ref="D176" ca="1">INDIRECT("'Uke "&amp;B176&amp;"'!V"&amp;9+C176)</f>
        <v>#REF!</v>
      </c>
      <c r="E176" s="20" t="e" cm="1">
        <f t="array" aca="1" ref="E176" ca="1">INDIRECT("'Uke "&amp;B176&amp;"'!AB"&amp;9+C176)</f>
        <v>#REF!</v>
      </c>
    </row>
    <row r="177" spans="1:5" x14ac:dyDescent="0.25">
      <c r="A177">
        <f t="shared" si="8"/>
        <v>2556</v>
      </c>
      <c r="B177">
        <f t="shared" si="6"/>
        <v>19</v>
      </c>
      <c r="C177">
        <f t="shared" si="7"/>
        <v>36</v>
      </c>
      <c r="D177" t="e" cm="1">
        <f t="array" aca="1" ref="D177" ca="1">INDIRECT("'Uke "&amp;B177&amp;"'!V"&amp;9+C177)</f>
        <v>#REF!</v>
      </c>
      <c r="E177" s="20" t="e" cm="1">
        <f t="array" aca="1" ref="E177" ca="1">INDIRECT("'Uke "&amp;B177&amp;"'!AB"&amp;9+C177)</f>
        <v>#REF!</v>
      </c>
    </row>
    <row r="178" spans="1:5" x14ac:dyDescent="0.25">
      <c r="A178">
        <f t="shared" si="8"/>
        <v>2557</v>
      </c>
      <c r="B178">
        <f t="shared" si="6"/>
        <v>19</v>
      </c>
      <c r="C178">
        <f t="shared" si="7"/>
        <v>37</v>
      </c>
      <c r="D178" t="e" cm="1">
        <f t="array" aca="1" ref="D178" ca="1">INDIRECT("'Uke "&amp;B178&amp;"'!V"&amp;9+C178)</f>
        <v>#REF!</v>
      </c>
      <c r="E178" s="20" t="e" cm="1">
        <f t="array" aca="1" ref="E178" ca="1">INDIRECT("'Uke "&amp;B178&amp;"'!AB"&amp;9+C178)</f>
        <v>#REF!</v>
      </c>
    </row>
    <row r="179" spans="1:5" x14ac:dyDescent="0.25">
      <c r="A179">
        <f t="shared" si="8"/>
        <v>2558</v>
      </c>
      <c r="B179">
        <f t="shared" si="6"/>
        <v>19</v>
      </c>
      <c r="C179">
        <f t="shared" si="7"/>
        <v>38</v>
      </c>
      <c r="D179" t="e" cm="1">
        <f t="array" aca="1" ref="D179" ca="1">INDIRECT("'Uke "&amp;B179&amp;"'!V"&amp;9+C179)</f>
        <v>#REF!</v>
      </c>
      <c r="E179" s="20" t="e" cm="1">
        <f t="array" aca="1" ref="E179" ca="1">INDIRECT("'Uke "&amp;B179&amp;"'!AB"&amp;9+C179)</f>
        <v>#REF!</v>
      </c>
    </row>
    <row r="180" spans="1:5" x14ac:dyDescent="0.25">
      <c r="A180">
        <f t="shared" si="8"/>
        <v>2559</v>
      </c>
      <c r="B180">
        <f t="shared" si="6"/>
        <v>19</v>
      </c>
      <c r="C180">
        <f t="shared" si="7"/>
        <v>39</v>
      </c>
      <c r="D180" t="e" cm="1">
        <f t="array" aca="1" ref="D180" ca="1">INDIRECT("'Uke "&amp;B180&amp;"'!V"&amp;9+C180)</f>
        <v>#REF!</v>
      </c>
      <c r="E180" s="20" t="e" cm="1">
        <f t="array" aca="1" ref="E180" ca="1">INDIRECT("'Uke "&amp;B180&amp;"'!AB"&amp;9+C180)</f>
        <v>#REF!</v>
      </c>
    </row>
    <row r="181" spans="1:5" x14ac:dyDescent="0.25">
      <c r="A181">
        <f t="shared" si="8"/>
        <v>2560</v>
      </c>
      <c r="B181">
        <f t="shared" si="6"/>
        <v>19</v>
      </c>
      <c r="C181">
        <f t="shared" si="7"/>
        <v>40</v>
      </c>
      <c r="D181" t="e" cm="1">
        <f t="array" aca="1" ref="D181" ca="1">INDIRECT("'Uke "&amp;B181&amp;"'!V"&amp;9+C181)</f>
        <v>#REF!</v>
      </c>
      <c r="E181" s="20" t="e" cm="1">
        <f t="array" aca="1" ref="E181" ca="1">INDIRECT("'Uke "&amp;B181&amp;"'!AB"&amp;9+C181)</f>
        <v>#REF!</v>
      </c>
    </row>
    <row r="182" spans="1:5" x14ac:dyDescent="0.25">
      <c r="A182">
        <f t="shared" si="8"/>
        <v>2561</v>
      </c>
      <c r="B182">
        <f t="shared" si="6"/>
        <v>19</v>
      </c>
      <c r="C182">
        <f t="shared" si="7"/>
        <v>41</v>
      </c>
      <c r="D182" t="e" cm="1">
        <f t="array" aca="1" ref="D182" ca="1">INDIRECT("'Uke "&amp;B182&amp;"'!V"&amp;9+C182)</f>
        <v>#REF!</v>
      </c>
      <c r="E182" s="20" t="e" cm="1">
        <f t="array" aca="1" ref="E182" ca="1">INDIRECT("'Uke "&amp;B182&amp;"'!AB"&amp;9+C182)</f>
        <v>#REF!</v>
      </c>
    </row>
    <row r="183" spans="1:5" x14ac:dyDescent="0.25">
      <c r="A183">
        <f t="shared" si="8"/>
        <v>2562</v>
      </c>
      <c r="B183">
        <f t="shared" si="6"/>
        <v>19</v>
      </c>
      <c r="C183">
        <f t="shared" si="7"/>
        <v>42</v>
      </c>
      <c r="D183" t="e" cm="1">
        <f t="array" aca="1" ref="D183" ca="1">INDIRECT("'Uke "&amp;B183&amp;"'!V"&amp;9+C183)</f>
        <v>#REF!</v>
      </c>
      <c r="E183" s="20" t="e" cm="1">
        <f t="array" aca="1" ref="E183" ca="1">INDIRECT("'Uke "&amp;B183&amp;"'!AB"&amp;9+C183)</f>
        <v>#REF!</v>
      </c>
    </row>
    <row r="184" spans="1:5" x14ac:dyDescent="0.25">
      <c r="A184">
        <f t="shared" si="8"/>
        <v>2563</v>
      </c>
      <c r="B184">
        <f t="shared" si="6"/>
        <v>19</v>
      </c>
      <c r="C184">
        <f t="shared" si="7"/>
        <v>43</v>
      </c>
      <c r="D184" t="e" cm="1">
        <f t="array" aca="1" ref="D184" ca="1">INDIRECT("'Uke "&amp;B184&amp;"'!V"&amp;9+C184)</f>
        <v>#REF!</v>
      </c>
      <c r="E184" s="20" t="e" cm="1">
        <f t="array" aca="1" ref="E184" ca="1">INDIRECT("'Uke "&amp;B184&amp;"'!AB"&amp;9+C184)</f>
        <v>#REF!</v>
      </c>
    </row>
    <row r="185" spans="1:5" x14ac:dyDescent="0.25">
      <c r="A185">
        <f t="shared" si="8"/>
        <v>2564</v>
      </c>
      <c r="B185">
        <f t="shared" si="6"/>
        <v>19</v>
      </c>
      <c r="C185">
        <f t="shared" si="7"/>
        <v>44</v>
      </c>
      <c r="D185" t="e" cm="1">
        <f t="array" aca="1" ref="D185" ca="1">INDIRECT("'Uke "&amp;B185&amp;"'!V"&amp;9+C185)</f>
        <v>#REF!</v>
      </c>
      <c r="E185" s="20" t="e" cm="1">
        <f t="array" aca="1" ref="E185" ca="1">INDIRECT("'Uke "&amp;B185&amp;"'!AB"&amp;9+C185)</f>
        <v>#REF!</v>
      </c>
    </row>
    <row r="186" spans="1:5" x14ac:dyDescent="0.25">
      <c r="A186">
        <f t="shared" si="8"/>
        <v>2565</v>
      </c>
      <c r="B186">
        <f t="shared" si="6"/>
        <v>19</v>
      </c>
      <c r="C186">
        <f t="shared" si="7"/>
        <v>45</v>
      </c>
      <c r="D186" t="e" cm="1">
        <f t="array" aca="1" ref="D186" ca="1">INDIRECT("'Uke "&amp;B186&amp;"'!V"&amp;9+C186)</f>
        <v>#REF!</v>
      </c>
      <c r="E186" s="20" t="e" cm="1">
        <f t="array" aca="1" ref="E186" ca="1">INDIRECT("'Uke "&amp;B186&amp;"'!AB"&amp;9+C186)</f>
        <v>#REF!</v>
      </c>
    </row>
    <row r="187" spans="1:5" x14ac:dyDescent="0.25">
      <c r="A187">
        <f t="shared" si="8"/>
        <v>2566</v>
      </c>
      <c r="B187">
        <f t="shared" si="6"/>
        <v>19</v>
      </c>
      <c r="C187">
        <f t="shared" si="7"/>
        <v>46</v>
      </c>
      <c r="D187" t="e" cm="1">
        <f t="array" aca="1" ref="D187" ca="1">INDIRECT("'Uke "&amp;B187&amp;"'!V"&amp;9+C187)</f>
        <v>#REF!</v>
      </c>
      <c r="E187" s="20" t="e" cm="1">
        <f t="array" aca="1" ref="E187" ca="1">INDIRECT("'Uke "&amp;B187&amp;"'!AB"&amp;9+C187)</f>
        <v>#REF!</v>
      </c>
    </row>
    <row r="188" spans="1:5" x14ac:dyDescent="0.25">
      <c r="A188">
        <f t="shared" si="8"/>
        <v>2567</v>
      </c>
      <c r="B188">
        <f t="shared" si="6"/>
        <v>19</v>
      </c>
      <c r="C188">
        <f t="shared" si="7"/>
        <v>47</v>
      </c>
      <c r="D188" t="e" cm="1">
        <f t="array" aca="1" ref="D188" ca="1">INDIRECT("'Uke "&amp;B188&amp;"'!V"&amp;9+C188)</f>
        <v>#REF!</v>
      </c>
      <c r="E188" s="20" t="e" cm="1">
        <f t="array" aca="1" ref="E188" ca="1">INDIRECT("'Uke "&amp;B188&amp;"'!AB"&amp;9+C188)</f>
        <v>#REF!</v>
      </c>
    </row>
    <row r="189" spans="1:5" x14ac:dyDescent="0.25">
      <c r="A189">
        <f t="shared" si="8"/>
        <v>2568</v>
      </c>
      <c r="B189">
        <f t="shared" si="6"/>
        <v>19</v>
      </c>
      <c r="C189">
        <f t="shared" si="7"/>
        <v>48</v>
      </c>
      <c r="D189" t="e" cm="1">
        <f t="array" aca="1" ref="D189" ca="1">INDIRECT("'Uke "&amp;B189&amp;"'!V"&amp;9+C189)</f>
        <v>#REF!</v>
      </c>
      <c r="E189" s="20" t="e" cm="1">
        <f t="array" aca="1" ref="E189" ca="1">INDIRECT("'Uke "&amp;B189&amp;"'!AB"&amp;9+C189)</f>
        <v>#REF!</v>
      </c>
    </row>
    <row r="190" spans="1:5" x14ac:dyDescent="0.25">
      <c r="A190">
        <f t="shared" si="8"/>
        <v>2569</v>
      </c>
      <c r="B190">
        <f t="shared" si="6"/>
        <v>19</v>
      </c>
      <c r="C190">
        <f t="shared" si="7"/>
        <v>49</v>
      </c>
      <c r="D190" t="e" cm="1">
        <f t="array" aca="1" ref="D190" ca="1">INDIRECT("'Uke "&amp;B190&amp;"'!V"&amp;9+C190)</f>
        <v>#REF!</v>
      </c>
      <c r="E190" s="20" t="e" cm="1">
        <f t="array" aca="1" ref="E190" ca="1">INDIRECT("'Uke "&amp;B190&amp;"'!AB"&amp;9+C190)</f>
        <v>#REF!</v>
      </c>
    </row>
    <row r="191" spans="1:5" x14ac:dyDescent="0.25">
      <c r="A191">
        <f t="shared" si="8"/>
        <v>2570</v>
      </c>
      <c r="B191">
        <f t="shared" si="6"/>
        <v>19</v>
      </c>
      <c r="C191">
        <f t="shared" si="7"/>
        <v>50</v>
      </c>
      <c r="D191" t="e" cm="1">
        <f t="array" aca="1" ref="D191" ca="1">INDIRECT("'Uke "&amp;B191&amp;"'!V"&amp;9+C191)</f>
        <v>#REF!</v>
      </c>
      <c r="E191" s="20" t="e" cm="1">
        <f t="array" aca="1" ref="E191" ca="1">INDIRECT("'Uke "&amp;B191&amp;"'!AB"&amp;9+C191)</f>
        <v>#REF!</v>
      </c>
    </row>
    <row r="192" spans="1:5" x14ac:dyDescent="0.25">
      <c r="A192">
        <f t="shared" si="8"/>
        <v>2571</v>
      </c>
      <c r="B192">
        <f t="shared" si="6"/>
        <v>19</v>
      </c>
      <c r="C192">
        <f t="shared" si="7"/>
        <v>51</v>
      </c>
      <c r="D192" t="e" cm="1">
        <f t="array" aca="1" ref="D192" ca="1">INDIRECT("'Uke "&amp;B192&amp;"'!V"&amp;9+C192)</f>
        <v>#REF!</v>
      </c>
      <c r="E192" s="20" t="e" cm="1">
        <f t="array" aca="1" ref="E192" ca="1">INDIRECT("'Uke "&amp;B192&amp;"'!AB"&amp;9+C192)</f>
        <v>#REF!</v>
      </c>
    </row>
    <row r="193" spans="1:5" x14ac:dyDescent="0.25">
      <c r="A193">
        <f t="shared" si="8"/>
        <v>2572</v>
      </c>
      <c r="B193">
        <f t="shared" si="6"/>
        <v>19</v>
      </c>
      <c r="C193">
        <f t="shared" si="7"/>
        <v>52</v>
      </c>
      <c r="D193" t="e" cm="1">
        <f t="array" aca="1" ref="D193" ca="1">INDIRECT("'Uke "&amp;B193&amp;"'!V"&amp;9+C193)</f>
        <v>#REF!</v>
      </c>
      <c r="E193" s="20" t="e" cm="1">
        <f t="array" aca="1" ref="E193" ca="1">INDIRECT("'Uke "&amp;B193&amp;"'!AB"&amp;9+C193)</f>
        <v>#REF!</v>
      </c>
    </row>
    <row r="194" spans="1:5" x14ac:dyDescent="0.25">
      <c r="A194">
        <f t="shared" si="8"/>
        <v>2573</v>
      </c>
      <c r="B194">
        <f t="shared" si="6"/>
        <v>19</v>
      </c>
      <c r="C194">
        <f t="shared" si="7"/>
        <v>53</v>
      </c>
      <c r="D194" t="e" cm="1">
        <f t="array" aca="1" ref="D194" ca="1">INDIRECT("'Uke "&amp;B194&amp;"'!V"&amp;9+C194)</f>
        <v>#REF!</v>
      </c>
      <c r="E194" s="20" t="e" cm="1">
        <f t="array" aca="1" ref="E194" ca="1">INDIRECT("'Uke "&amp;B194&amp;"'!AB"&amp;9+C194)</f>
        <v>#REF!</v>
      </c>
    </row>
    <row r="195" spans="1:5" x14ac:dyDescent="0.25">
      <c r="A195">
        <f t="shared" si="8"/>
        <v>2574</v>
      </c>
      <c r="B195">
        <f t="shared" ref="B195:B449" si="9">INT((A195-1)/140)+1</f>
        <v>19</v>
      </c>
      <c r="C195">
        <f t="shared" ref="C195:C208" si="10">MOD(A195-1,140)+1</f>
        <v>54</v>
      </c>
      <c r="D195" t="e" cm="1">
        <f t="array" aca="1" ref="D195" ca="1">INDIRECT("'Uke "&amp;B195&amp;"'!V"&amp;9+C195)</f>
        <v>#REF!</v>
      </c>
      <c r="E195" s="20" t="e" cm="1">
        <f t="array" aca="1" ref="E195" ca="1">INDIRECT("'Uke "&amp;B195&amp;"'!AB"&amp;9+C195)</f>
        <v>#REF!</v>
      </c>
    </row>
    <row r="196" spans="1:5" x14ac:dyDescent="0.25">
      <c r="A196">
        <f t="shared" ref="A196:A208" si="11">A195+1</f>
        <v>2575</v>
      </c>
      <c r="B196">
        <f t="shared" si="9"/>
        <v>19</v>
      </c>
      <c r="C196">
        <f t="shared" si="10"/>
        <v>55</v>
      </c>
      <c r="D196" t="e" cm="1">
        <f t="array" aca="1" ref="D196" ca="1">INDIRECT("'Uke "&amp;B196&amp;"'!V"&amp;9+C196)</f>
        <v>#REF!</v>
      </c>
      <c r="E196" s="20" t="e" cm="1">
        <f t="array" aca="1" ref="E196" ca="1">INDIRECT("'Uke "&amp;B196&amp;"'!AB"&amp;9+C196)</f>
        <v>#REF!</v>
      </c>
    </row>
    <row r="197" spans="1:5" x14ac:dyDescent="0.25">
      <c r="A197">
        <f t="shared" si="11"/>
        <v>2576</v>
      </c>
      <c r="B197">
        <f t="shared" si="9"/>
        <v>19</v>
      </c>
      <c r="C197">
        <f t="shared" si="10"/>
        <v>56</v>
      </c>
      <c r="D197" t="e" cm="1">
        <f t="array" aca="1" ref="D197" ca="1">INDIRECT("'Uke "&amp;B197&amp;"'!V"&amp;9+C197)</f>
        <v>#REF!</v>
      </c>
      <c r="E197" s="20" t="e" cm="1">
        <f t="array" aca="1" ref="E197" ca="1">INDIRECT("'Uke "&amp;B197&amp;"'!AB"&amp;9+C197)</f>
        <v>#REF!</v>
      </c>
    </row>
    <row r="198" spans="1:5" x14ac:dyDescent="0.25">
      <c r="A198">
        <f t="shared" si="11"/>
        <v>2577</v>
      </c>
      <c r="B198">
        <f t="shared" si="9"/>
        <v>19</v>
      </c>
      <c r="C198">
        <f t="shared" si="10"/>
        <v>57</v>
      </c>
      <c r="D198" t="e" cm="1">
        <f t="array" aca="1" ref="D198" ca="1">INDIRECT("'Uke "&amp;B198&amp;"'!V"&amp;9+C198)</f>
        <v>#REF!</v>
      </c>
      <c r="E198" s="20" t="e" cm="1">
        <f t="array" aca="1" ref="E198" ca="1">INDIRECT("'Uke "&amp;B198&amp;"'!AB"&amp;9+C198)</f>
        <v>#REF!</v>
      </c>
    </row>
    <row r="199" spans="1:5" x14ac:dyDescent="0.25">
      <c r="A199">
        <f t="shared" si="11"/>
        <v>2578</v>
      </c>
      <c r="B199">
        <f t="shared" si="9"/>
        <v>19</v>
      </c>
      <c r="C199">
        <f t="shared" si="10"/>
        <v>58</v>
      </c>
      <c r="D199" t="e" cm="1">
        <f t="array" aca="1" ref="D199" ca="1">INDIRECT("'Uke "&amp;B199&amp;"'!V"&amp;9+C199)</f>
        <v>#REF!</v>
      </c>
      <c r="E199" s="20" t="e" cm="1">
        <f t="array" aca="1" ref="E199" ca="1">INDIRECT("'Uke "&amp;B199&amp;"'!AB"&amp;9+C199)</f>
        <v>#REF!</v>
      </c>
    </row>
    <row r="200" spans="1:5" x14ac:dyDescent="0.25">
      <c r="A200">
        <f t="shared" si="11"/>
        <v>2579</v>
      </c>
      <c r="B200">
        <f t="shared" si="9"/>
        <v>19</v>
      </c>
      <c r="C200">
        <f t="shared" si="10"/>
        <v>59</v>
      </c>
      <c r="D200" t="e" cm="1">
        <f t="array" aca="1" ref="D200" ca="1">INDIRECT("'Uke "&amp;B200&amp;"'!V"&amp;9+C200)</f>
        <v>#REF!</v>
      </c>
      <c r="E200" s="20" t="e" cm="1">
        <f t="array" aca="1" ref="E200" ca="1">INDIRECT("'Uke "&amp;B200&amp;"'!AB"&amp;9+C200)</f>
        <v>#REF!</v>
      </c>
    </row>
    <row r="201" spans="1:5" x14ac:dyDescent="0.25">
      <c r="A201">
        <f t="shared" si="11"/>
        <v>2580</v>
      </c>
      <c r="B201">
        <f t="shared" si="9"/>
        <v>19</v>
      </c>
      <c r="C201">
        <f t="shared" si="10"/>
        <v>60</v>
      </c>
      <c r="D201" t="e" cm="1">
        <f t="array" aca="1" ref="D201" ca="1">INDIRECT("'Uke "&amp;B201&amp;"'!V"&amp;9+C201)</f>
        <v>#REF!</v>
      </c>
      <c r="E201" s="20" t="e" cm="1">
        <f t="array" aca="1" ref="E201" ca="1">INDIRECT("'Uke "&amp;B201&amp;"'!AB"&amp;9+C201)</f>
        <v>#REF!</v>
      </c>
    </row>
    <row r="202" spans="1:5" x14ac:dyDescent="0.25">
      <c r="A202">
        <f t="shared" si="11"/>
        <v>2581</v>
      </c>
      <c r="B202">
        <f t="shared" si="9"/>
        <v>19</v>
      </c>
      <c r="C202">
        <f t="shared" si="10"/>
        <v>61</v>
      </c>
      <c r="D202" t="e" cm="1">
        <f t="array" aca="1" ref="D202" ca="1">INDIRECT("'Uke "&amp;B202&amp;"'!V"&amp;9+C202)</f>
        <v>#REF!</v>
      </c>
      <c r="E202" s="20" t="e" cm="1">
        <f t="array" aca="1" ref="E202" ca="1">INDIRECT("'Uke "&amp;B202&amp;"'!AB"&amp;9+C202)</f>
        <v>#REF!</v>
      </c>
    </row>
    <row r="203" spans="1:5" x14ac:dyDescent="0.25">
      <c r="A203">
        <f t="shared" si="11"/>
        <v>2582</v>
      </c>
      <c r="B203">
        <f t="shared" si="9"/>
        <v>19</v>
      </c>
      <c r="C203">
        <f t="shared" si="10"/>
        <v>62</v>
      </c>
      <c r="D203" t="e" cm="1">
        <f t="array" aca="1" ref="D203" ca="1">INDIRECT("'Uke "&amp;B203&amp;"'!V"&amp;9+C203)</f>
        <v>#REF!</v>
      </c>
      <c r="E203" s="20" t="e" cm="1">
        <f t="array" aca="1" ref="E203" ca="1">INDIRECT("'Uke "&amp;B203&amp;"'!AB"&amp;9+C203)</f>
        <v>#REF!</v>
      </c>
    </row>
    <row r="204" spans="1:5" x14ac:dyDescent="0.25">
      <c r="A204">
        <f t="shared" si="11"/>
        <v>2583</v>
      </c>
      <c r="B204">
        <f t="shared" si="9"/>
        <v>19</v>
      </c>
      <c r="C204">
        <f t="shared" si="10"/>
        <v>63</v>
      </c>
      <c r="D204" t="e" cm="1">
        <f t="array" aca="1" ref="D204" ca="1">INDIRECT("'Uke "&amp;B204&amp;"'!V"&amp;9+C204)</f>
        <v>#REF!</v>
      </c>
      <c r="E204" s="20" t="e" cm="1">
        <f t="array" aca="1" ref="E204" ca="1">INDIRECT("'Uke "&amp;B204&amp;"'!AB"&amp;9+C204)</f>
        <v>#REF!</v>
      </c>
    </row>
    <row r="205" spans="1:5" x14ac:dyDescent="0.25">
      <c r="A205">
        <f t="shared" si="11"/>
        <v>2584</v>
      </c>
      <c r="B205">
        <f t="shared" si="9"/>
        <v>19</v>
      </c>
      <c r="C205">
        <f t="shared" si="10"/>
        <v>64</v>
      </c>
      <c r="D205" t="e" cm="1">
        <f t="array" aca="1" ref="D205" ca="1">INDIRECT("'Uke "&amp;B205&amp;"'!V"&amp;9+C205)</f>
        <v>#REF!</v>
      </c>
      <c r="E205" s="20" t="e" cm="1">
        <f t="array" aca="1" ref="E205" ca="1">INDIRECT("'Uke "&amp;B205&amp;"'!AB"&amp;9+C205)</f>
        <v>#REF!</v>
      </c>
    </row>
    <row r="206" spans="1:5" x14ac:dyDescent="0.25">
      <c r="A206">
        <f t="shared" si="11"/>
        <v>2585</v>
      </c>
      <c r="B206">
        <f t="shared" si="9"/>
        <v>19</v>
      </c>
      <c r="C206">
        <f t="shared" si="10"/>
        <v>65</v>
      </c>
      <c r="D206" t="e" cm="1">
        <f t="array" aca="1" ref="D206" ca="1">INDIRECT("'Uke "&amp;B206&amp;"'!V"&amp;9+C206)</f>
        <v>#REF!</v>
      </c>
      <c r="E206" s="20" t="e" cm="1">
        <f t="array" aca="1" ref="E206" ca="1">INDIRECT("'Uke "&amp;B206&amp;"'!AB"&amp;9+C206)</f>
        <v>#REF!</v>
      </c>
    </row>
    <row r="207" spans="1:5" x14ac:dyDescent="0.25">
      <c r="A207">
        <f t="shared" si="11"/>
        <v>2586</v>
      </c>
      <c r="B207">
        <f t="shared" si="9"/>
        <v>19</v>
      </c>
      <c r="C207">
        <f t="shared" si="10"/>
        <v>66</v>
      </c>
      <c r="D207" t="e" cm="1">
        <f t="array" aca="1" ref="D207" ca="1">INDIRECT("'Uke "&amp;B207&amp;"'!V"&amp;9+C207)</f>
        <v>#REF!</v>
      </c>
      <c r="E207" s="20" t="e" cm="1">
        <f t="array" aca="1" ref="E207" ca="1">INDIRECT("'Uke "&amp;B207&amp;"'!AB"&amp;9+C207)</f>
        <v>#REF!</v>
      </c>
    </row>
    <row r="208" spans="1:5" x14ac:dyDescent="0.25">
      <c r="A208">
        <f t="shared" si="11"/>
        <v>2587</v>
      </c>
      <c r="B208">
        <f t="shared" si="9"/>
        <v>19</v>
      </c>
      <c r="C208">
        <f t="shared" si="10"/>
        <v>67</v>
      </c>
      <c r="D208" t="e" cm="1">
        <f t="array" aca="1" ref="D208" ca="1">INDIRECT("'Uke "&amp;B208&amp;"'!V"&amp;9+C208)</f>
        <v>#REF!</v>
      </c>
      <c r="E208" s="20" t="e" cm="1">
        <f t="array" aca="1" ref="E208" ca="1">INDIRECT("'Uke "&amp;B208&amp;"'!AB"&amp;9+C208)</f>
        <v>#REF!</v>
      </c>
    </row>
    <row r="209" spans="1:5" x14ac:dyDescent="0.25">
      <c r="A209">
        <f t="shared" ref="A209:A272" si="12">A208+1</f>
        <v>2588</v>
      </c>
      <c r="B209">
        <f t="shared" si="9"/>
        <v>19</v>
      </c>
      <c r="C209">
        <f t="shared" ref="C209:C272" si="13">MOD(A209-1,140)+1</f>
        <v>68</v>
      </c>
      <c r="D209" t="e" cm="1">
        <f t="array" aca="1" ref="D209" ca="1">INDIRECT("'Uke "&amp;B209&amp;"'!V"&amp;9+C209)</f>
        <v>#REF!</v>
      </c>
      <c r="E209" s="20" t="e" cm="1">
        <f t="array" aca="1" ref="E209" ca="1">INDIRECT("'Uke "&amp;B209&amp;"'!AB"&amp;9+C209)</f>
        <v>#REF!</v>
      </c>
    </row>
    <row r="210" spans="1:5" x14ac:dyDescent="0.25">
      <c r="A210">
        <f t="shared" si="12"/>
        <v>2589</v>
      </c>
      <c r="B210">
        <f t="shared" si="9"/>
        <v>19</v>
      </c>
      <c r="C210">
        <f t="shared" si="13"/>
        <v>69</v>
      </c>
      <c r="D210" t="e" cm="1">
        <f t="array" aca="1" ref="D210" ca="1">INDIRECT("'Uke "&amp;B210&amp;"'!V"&amp;9+C210)</f>
        <v>#REF!</v>
      </c>
      <c r="E210" s="20" t="e" cm="1">
        <f t="array" aca="1" ref="E210" ca="1">INDIRECT("'Uke "&amp;B210&amp;"'!AB"&amp;9+C210)</f>
        <v>#REF!</v>
      </c>
    </row>
    <row r="211" spans="1:5" x14ac:dyDescent="0.25">
      <c r="A211">
        <f t="shared" si="12"/>
        <v>2590</v>
      </c>
      <c r="B211">
        <f t="shared" si="9"/>
        <v>19</v>
      </c>
      <c r="C211">
        <f t="shared" si="13"/>
        <v>70</v>
      </c>
      <c r="D211" t="e" cm="1">
        <f t="array" aca="1" ref="D211" ca="1">INDIRECT("'Uke "&amp;B211&amp;"'!V"&amp;9+C211)</f>
        <v>#REF!</v>
      </c>
      <c r="E211" s="20" t="e" cm="1">
        <f t="array" aca="1" ref="E211" ca="1">INDIRECT("'Uke "&amp;B211&amp;"'!AB"&amp;9+C211)</f>
        <v>#REF!</v>
      </c>
    </row>
    <row r="212" spans="1:5" x14ac:dyDescent="0.25">
      <c r="A212">
        <f t="shared" si="12"/>
        <v>2591</v>
      </c>
      <c r="B212">
        <f t="shared" si="9"/>
        <v>19</v>
      </c>
      <c r="C212">
        <f t="shared" si="13"/>
        <v>71</v>
      </c>
      <c r="D212" t="e" cm="1">
        <f t="array" aca="1" ref="D212" ca="1">INDIRECT("'Uke "&amp;B212&amp;"'!V"&amp;9+C212)</f>
        <v>#REF!</v>
      </c>
      <c r="E212" s="20" t="e" cm="1">
        <f t="array" aca="1" ref="E212" ca="1">INDIRECT("'Uke "&amp;B212&amp;"'!AB"&amp;9+C212)</f>
        <v>#REF!</v>
      </c>
    </row>
    <row r="213" spans="1:5" x14ac:dyDescent="0.25">
      <c r="A213">
        <f t="shared" si="12"/>
        <v>2592</v>
      </c>
      <c r="B213">
        <f t="shared" si="9"/>
        <v>19</v>
      </c>
      <c r="C213">
        <f t="shared" si="13"/>
        <v>72</v>
      </c>
      <c r="D213" t="e" cm="1">
        <f t="array" aca="1" ref="D213" ca="1">INDIRECT("'Uke "&amp;B213&amp;"'!V"&amp;9+C213)</f>
        <v>#REF!</v>
      </c>
      <c r="E213" s="20" t="e" cm="1">
        <f t="array" aca="1" ref="E213" ca="1">INDIRECT("'Uke "&amp;B213&amp;"'!AB"&amp;9+C213)</f>
        <v>#REF!</v>
      </c>
    </row>
    <row r="214" spans="1:5" x14ac:dyDescent="0.25">
      <c r="A214">
        <f t="shared" si="12"/>
        <v>2593</v>
      </c>
      <c r="B214">
        <f t="shared" si="9"/>
        <v>19</v>
      </c>
      <c r="C214">
        <f t="shared" si="13"/>
        <v>73</v>
      </c>
      <c r="D214" t="e" cm="1">
        <f t="array" aca="1" ref="D214" ca="1">INDIRECT("'Uke "&amp;B214&amp;"'!V"&amp;9+C214)</f>
        <v>#REF!</v>
      </c>
      <c r="E214" s="20" t="e" cm="1">
        <f t="array" aca="1" ref="E214" ca="1">INDIRECT("'Uke "&amp;B214&amp;"'!AB"&amp;9+C214)</f>
        <v>#REF!</v>
      </c>
    </row>
    <row r="215" spans="1:5" x14ac:dyDescent="0.25">
      <c r="A215">
        <f t="shared" si="12"/>
        <v>2594</v>
      </c>
      <c r="B215">
        <f t="shared" si="9"/>
        <v>19</v>
      </c>
      <c r="C215">
        <f t="shared" si="13"/>
        <v>74</v>
      </c>
      <c r="D215" t="e" cm="1">
        <f t="array" aca="1" ref="D215" ca="1">INDIRECT("'Uke "&amp;B215&amp;"'!V"&amp;9+C215)</f>
        <v>#REF!</v>
      </c>
      <c r="E215" s="20" t="e" cm="1">
        <f t="array" aca="1" ref="E215" ca="1">INDIRECT("'Uke "&amp;B215&amp;"'!AB"&amp;9+C215)</f>
        <v>#REF!</v>
      </c>
    </row>
    <row r="216" spans="1:5" x14ac:dyDescent="0.25">
      <c r="A216">
        <f t="shared" si="12"/>
        <v>2595</v>
      </c>
      <c r="B216">
        <f t="shared" si="9"/>
        <v>19</v>
      </c>
      <c r="C216">
        <f t="shared" si="13"/>
        <v>75</v>
      </c>
      <c r="D216" t="e" cm="1">
        <f t="array" aca="1" ref="D216" ca="1">INDIRECT("'Uke "&amp;B216&amp;"'!V"&amp;9+C216)</f>
        <v>#REF!</v>
      </c>
      <c r="E216" s="20" t="e" cm="1">
        <f t="array" aca="1" ref="E216" ca="1">INDIRECT("'Uke "&amp;B216&amp;"'!AB"&amp;9+C216)</f>
        <v>#REF!</v>
      </c>
    </row>
    <row r="217" spans="1:5" x14ac:dyDescent="0.25">
      <c r="A217">
        <f t="shared" si="12"/>
        <v>2596</v>
      </c>
      <c r="B217">
        <f t="shared" si="9"/>
        <v>19</v>
      </c>
      <c r="C217">
        <f t="shared" si="13"/>
        <v>76</v>
      </c>
      <c r="D217" t="e" cm="1">
        <f t="array" aca="1" ref="D217" ca="1">INDIRECT("'Uke "&amp;B217&amp;"'!V"&amp;9+C217)</f>
        <v>#REF!</v>
      </c>
      <c r="E217" s="20" t="e" cm="1">
        <f t="array" aca="1" ref="E217" ca="1">INDIRECT("'Uke "&amp;B217&amp;"'!AB"&amp;9+C217)</f>
        <v>#REF!</v>
      </c>
    </row>
    <row r="218" spans="1:5" x14ac:dyDescent="0.25">
      <c r="A218">
        <f t="shared" si="12"/>
        <v>2597</v>
      </c>
      <c r="B218">
        <f t="shared" si="9"/>
        <v>19</v>
      </c>
      <c r="C218">
        <f t="shared" si="13"/>
        <v>77</v>
      </c>
      <c r="D218" t="e" cm="1">
        <f t="array" aca="1" ref="D218" ca="1">INDIRECT("'Uke "&amp;B218&amp;"'!V"&amp;9+C218)</f>
        <v>#REF!</v>
      </c>
      <c r="E218" s="20" t="e" cm="1">
        <f t="array" aca="1" ref="E218" ca="1">INDIRECT("'Uke "&amp;B218&amp;"'!AB"&amp;9+C218)</f>
        <v>#REF!</v>
      </c>
    </row>
    <row r="219" spans="1:5" x14ac:dyDescent="0.25">
      <c r="A219">
        <f t="shared" si="12"/>
        <v>2598</v>
      </c>
      <c r="B219">
        <f t="shared" si="9"/>
        <v>19</v>
      </c>
      <c r="C219">
        <f t="shared" si="13"/>
        <v>78</v>
      </c>
      <c r="D219" t="e" cm="1">
        <f t="array" aca="1" ref="D219" ca="1">INDIRECT("'Uke "&amp;B219&amp;"'!V"&amp;9+C219)</f>
        <v>#REF!</v>
      </c>
      <c r="E219" s="20" t="e" cm="1">
        <f t="array" aca="1" ref="E219" ca="1">INDIRECT("'Uke "&amp;B219&amp;"'!AB"&amp;9+C219)</f>
        <v>#REF!</v>
      </c>
    </row>
    <row r="220" spans="1:5" x14ac:dyDescent="0.25">
      <c r="A220">
        <f t="shared" si="12"/>
        <v>2599</v>
      </c>
      <c r="B220">
        <f t="shared" si="9"/>
        <v>19</v>
      </c>
      <c r="C220">
        <f t="shared" si="13"/>
        <v>79</v>
      </c>
      <c r="D220" t="e" cm="1">
        <f t="array" aca="1" ref="D220" ca="1">INDIRECT("'Uke "&amp;B220&amp;"'!V"&amp;9+C220)</f>
        <v>#REF!</v>
      </c>
      <c r="E220" s="20" t="e" cm="1">
        <f t="array" aca="1" ref="E220" ca="1">INDIRECT("'Uke "&amp;B220&amp;"'!AB"&amp;9+C220)</f>
        <v>#REF!</v>
      </c>
    </row>
    <row r="221" spans="1:5" x14ac:dyDescent="0.25">
      <c r="A221">
        <f t="shared" si="12"/>
        <v>2600</v>
      </c>
      <c r="B221">
        <f t="shared" si="9"/>
        <v>19</v>
      </c>
      <c r="C221">
        <f t="shared" si="13"/>
        <v>80</v>
      </c>
      <c r="D221" t="e" cm="1">
        <f t="array" aca="1" ref="D221" ca="1">INDIRECT("'Uke "&amp;B221&amp;"'!V"&amp;9+C221)</f>
        <v>#REF!</v>
      </c>
      <c r="E221" s="20" t="e" cm="1">
        <f t="array" aca="1" ref="E221" ca="1">INDIRECT("'Uke "&amp;B221&amp;"'!AB"&amp;9+C221)</f>
        <v>#REF!</v>
      </c>
    </row>
    <row r="222" spans="1:5" x14ac:dyDescent="0.25">
      <c r="A222">
        <f t="shared" si="12"/>
        <v>2601</v>
      </c>
      <c r="B222">
        <f t="shared" si="9"/>
        <v>19</v>
      </c>
      <c r="C222">
        <f t="shared" si="13"/>
        <v>81</v>
      </c>
      <c r="D222" t="e" cm="1">
        <f t="array" aca="1" ref="D222" ca="1">INDIRECT("'Uke "&amp;B222&amp;"'!V"&amp;9+C222)</f>
        <v>#REF!</v>
      </c>
      <c r="E222" s="20" t="e" cm="1">
        <f t="array" aca="1" ref="E222" ca="1">INDIRECT("'Uke "&amp;B222&amp;"'!AB"&amp;9+C222)</f>
        <v>#REF!</v>
      </c>
    </row>
    <row r="223" spans="1:5" x14ac:dyDescent="0.25">
      <c r="A223">
        <f t="shared" si="12"/>
        <v>2602</v>
      </c>
      <c r="B223">
        <f t="shared" si="9"/>
        <v>19</v>
      </c>
      <c r="C223">
        <f t="shared" si="13"/>
        <v>82</v>
      </c>
      <c r="D223" t="e" cm="1">
        <f t="array" aca="1" ref="D223" ca="1">INDIRECT("'Uke "&amp;B223&amp;"'!V"&amp;9+C223)</f>
        <v>#REF!</v>
      </c>
      <c r="E223" s="20" t="e" cm="1">
        <f t="array" aca="1" ref="E223" ca="1">INDIRECT("'Uke "&amp;B223&amp;"'!AB"&amp;9+C223)</f>
        <v>#REF!</v>
      </c>
    </row>
    <row r="224" spans="1:5" x14ac:dyDescent="0.25">
      <c r="A224">
        <f t="shared" si="12"/>
        <v>2603</v>
      </c>
      <c r="B224">
        <f t="shared" si="9"/>
        <v>19</v>
      </c>
      <c r="C224">
        <f t="shared" si="13"/>
        <v>83</v>
      </c>
      <c r="D224" t="e" cm="1">
        <f t="array" aca="1" ref="D224" ca="1">INDIRECT("'Uke "&amp;B224&amp;"'!V"&amp;9+C224)</f>
        <v>#REF!</v>
      </c>
      <c r="E224" s="20" t="e" cm="1">
        <f t="array" aca="1" ref="E224" ca="1">INDIRECT("'Uke "&amp;B224&amp;"'!AB"&amp;9+C224)</f>
        <v>#REF!</v>
      </c>
    </row>
    <row r="225" spans="1:5" x14ac:dyDescent="0.25">
      <c r="A225">
        <f t="shared" si="12"/>
        <v>2604</v>
      </c>
      <c r="B225">
        <f t="shared" si="9"/>
        <v>19</v>
      </c>
      <c r="C225">
        <f t="shared" si="13"/>
        <v>84</v>
      </c>
      <c r="D225" t="e" cm="1">
        <f t="array" aca="1" ref="D225" ca="1">INDIRECT("'Uke "&amp;B225&amp;"'!V"&amp;9+C225)</f>
        <v>#REF!</v>
      </c>
      <c r="E225" s="20" t="e" cm="1">
        <f t="array" aca="1" ref="E225" ca="1">INDIRECT("'Uke "&amp;B225&amp;"'!AB"&amp;9+C225)</f>
        <v>#REF!</v>
      </c>
    </row>
    <row r="226" spans="1:5" x14ac:dyDescent="0.25">
      <c r="A226">
        <f t="shared" si="12"/>
        <v>2605</v>
      </c>
      <c r="B226">
        <f t="shared" si="9"/>
        <v>19</v>
      </c>
      <c r="C226">
        <f t="shared" si="13"/>
        <v>85</v>
      </c>
      <c r="D226" t="e" cm="1">
        <f t="array" aca="1" ref="D226" ca="1">INDIRECT("'Uke "&amp;B226&amp;"'!V"&amp;9+C226)</f>
        <v>#REF!</v>
      </c>
      <c r="E226" s="20" t="e" cm="1">
        <f t="array" aca="1" ref="E226" ca="1">INDIRECT("'Uke "&amp;B226&amp;"'!AB"&amp;9+C226)</f>
        <v>#REF!</v>
      </c>
    </row>
    <row r="227" spans="1:5" x14ac:dyDescent="0.25">
      <c r="A227">
        <f t="shared" si="12"/>
        <v>2606</v>
      </c>
      <c r="B227">
        <f t="shared" si="9"/>
        <v>19</v>
      </c>
      <c r="C227">
        <f t="shared" si="13"/>
        <v>86</v>
      </c>
      <c r="D227" t="e" cm="1">
        <f t="array" aca="1" ref="D227" ca="1">INDIRECT("'Uke "&amp;B227&amp;"'!V"&amp;9+C227)</f>
        <v>#REF!</v>
      </c>
      <c r="E227" s="20" t="e" cm="1">
        <f t="array" aca="1" ref="E227" ca="1">INDIRECT("'Uke "&amp;B227&amp;"'!AB"&amp;9+C227)</f>
        <v>#REF!</v>
      </c>
    </row>
    <row r="228" spans="1:5" x14ac:dyDescent="0.25">
      <c r="A228">
        <f t="shared" si="12"/>
        <v>2607</v>
      </c>
      <c r="B228">
        <f t="shared" si="9"/>
        <v>19</v>
      </c>
      <c r="C228">
        <f t="shared" si="13"/>
        <v>87</v>
      </c>
      <c r="D228" t="e" cm="1">
        <f t="array" aca="1" ref="D228" ca="1">INDIRECT("'Uke "&amp;B228&amp;"'!V"&amp;9+C228)</f>
        <v>#REF!</v>
      </c>
      <c r="E228" s="20" t="e" cm="1">
        <f t="array" aca="1" ref="E228" ca="1">INDIRECT("'Uke "&amp;B228&amp;"'!AB"&amp;9+C228)</f>
        <v>#REF!</v>
      </c>
    </row>
    <row r="229" spans="1:5" x14ac:dyDescent="0.25">
      <c r="A229">
        <f t="shared" si="12"/>
        <v>2608</v>
      </c>
      <c r="B229">
        <f t="shared" si="9"/>
        <v>19</v>
      </c>
      <c r="C229">
        <f t="shared" si="13"/>
        <v>88</v>
      </c>
      <c r="D229" t="e" cm="1">
        <f t="array" aca="1" ref="D229" ca="1">INDIRECT("'Uke "&amp;B229&amp;"'!V"&amp;9+C229)</f>
        <v>#REF!</v>
      </c>
      <c r="E229" s="20" t="e" cm="1">
        <f t="array" aca="1" ref="E229" ca="1">INDIRECT("'Uke "&amp;B229&amp;"'!AB"&amp;9+C229)</f>
        <v>#REF!</v>
      </c>
    </row>
    <row r="230" spans="1:5" x14ac:dyDescent="0.25">
      <c r="A230">
        <f t="shared" si="12"/>
        <v>2609</v>
      </c>
      <c r="B230">
        <f t="shared" si="9"/>
        <v>19</v>
      </c>
      <c r="C230">
        <f t="shared" si="13"/>
        <v>89</v>
      </c>
      <c r="D230" t="e" cm="1">
        <f t="array" aca="1" ref="D230" ca="1">INDIRECT("'Uke "&amp;B230&amp;"'!V"&amp;9+C230)</f>
        <v>#REF!</v>
      </c>
      <c r="E230" s="20" t="e" cm="1">
        <f t="array" aca="1" ref="E230" ca="1">INDIRECT("'Uke "&amp;B230&amp;"'!AB"&amp;9+C230)</f>
        <v>#REF!</v>
      </c>
    </row>
    <row r="231" spans="1:5" x14ac:dyDescent="0.25">
      <c r="A231">
        <f t="shared" si="12"/>
        <v>2610</v>
      </c>
      <c r="B231">
        <f t="shared" si="9"/>
        <v>19</v>
      </c>
      <c r="C231">
        <f t="shared" si="13"/>
        <v>90</v>
      </c>
      <c r="D231" t="e" cm="1">
        <f t="array" aca="1" ref="D231" ca="1">INDIRECT("'Uke "&amp;B231&amp;"'!V"&amp;9+C231)</f>
        <v>#REF!</v>
      </c>
      <c r="E231" s="20" t="e" cm="1">
        <f t="array" aca="1" ref="E231" ca="1">INDIRECT("'Uke "&amp;B231&amp;"'!AB"&amp;9+C231)</f>
        <v>#REF!</v>
      </c>
    </row>
    <row r="232" spans="1:5" x14ac:dyDescent="0.25">
      <c r="A232">
        <f t="shared" si="12"/>
        <v>2611</v>
      </c>
      <c r="B232">
        <f t="shared" si="9"/>
        <v>19</v>
      </c>
      <c r="C232">
        <f t="shared" si="13"/>
        <v>91</v>
      </c>
      <c r="D232" t="e" cm="1">
        <f t="array" aca="1" ref="D232" ca="1">INDIRECT("'Uke "&amp;B232&amp;"'!V"&amp;9+C232)</f>
        <v>#REF!</v>
      </c>
      <c r="E232" s="20" t="e" cm="1">
        <f t="array" aca="1" ref="E232" ca="1">INDIRECT("'Uke "&amp;B232&amp;"'!AB"&amp;9+C232)</f>
        <v>#REF!</v>
      </c>
    </row>
    <row r="233" spans="1:5" x14ac:dyDescent="0.25">
      <c r="A233">
        <f t="shared" si="12"/>
        <v>2612</v>
      </c>
      <c r="B233">
        <f t="shared" si="9"/>
        <v>19</v>
      </c>
      <c r="C233">
        <f t="shared" si="13"/>
        <v>92</v>
      </c>
      <c r="D233" t="e" cm="1">
        <f t="array" aca="1" ref="D233" ca="1">INDIRECT("'Uke "&amp;B233&amp;"'!V"&amp;9+C233)</f>
        <v>#REF!</v>
      </c>
      <c r="E233" s="20" t="e" cm="1">
        <f t="array" aca="1" ref="E233" ca="1">INDIRECT("'Uke "&amp;B233&amp;"'!AB"&amp;9+C233)</f>
        <v>#REF!</v>
      </c>
    </row>
    <row r="234" spans="1:5" x14ac:dyDescent="0.25">
      <c r="A234">
        <f t="shared" si="12"/>
        <v>2613</v>
      </c>
      <c r="B234">
        <f t="shared" si="9"/>
        <v>19</v>
      </c>
      <c r="C234">
        <f t="shared" si="13"/>
        <v>93</v>
      </c>
      <c r="D234" t="e" cm="1">
        <f t="array" aca="1" ref="D234" ca="1">INDIRECT("'Uke "&amp;B234&amp;"'!V"&amp;9+C234)</f>
        <v>#REF!</v>
      </c>
      <c r="E234" s="20" t="e" cm="1">
        <f t="array" aca="1" ref="E234" ca="1">INDIRECT("'Uke "&amp;B234&amp;"'!AB"&amp;9+C234)</f>
        <v>#REF!</v>
      </c>
    </row>
    <row r="235" spans="1:5" x14ac:dyDescent="0.25">
      <c r="A235">
        <f t="shared" si="12"/>
        <v>2614</v>
      </c>
      <c r="B235">
        <f t="shared" si="9"/>
        <v>19</v>
      </c>
      <c r="C235">
        <f t="shared" si="13"/>
        <v>94</v>
      </c>
      <c r="D235" t="e" cm="1">
        <f t="array" aca="1" ref="D235" ca="1">INDIRECT("'Uke "&amp;B235&amp;"'!V"&amp;9+C235)</f>
        <v>#REF!</v>
      </c>
      <c r="E235" s="20" t="e" cm="1">
        <f t="array" aca="1" ref="E235" ca="1">INDIRECT("'Uke "&amp;B235&amp;"'!AB"&amp;9+C235)</f>
        <v>#REF!</v>
      </c>
    </row>
    <row r="236" spans="1:5" x14ac:dyDescent="0.25">
      <c r="A236">
        <f t="shared" si="12"/>
        <v>2615</v>
      </c>
      <c r="B236">
        <f t="shared" si="9"/>
        <v>19</v>
      </c>
      <c r="C236">
        <f t="shared" si="13"/>
        <v>95</v>
      </c>
      <c r="D236" t="e" cm="1">
        <f t="array" aca="1" ref="D236" ca="1">INDIRECT("'Uke "&amp;B236&amp;"'!V"&amp;9+C236)</f>
        <v>#REF!</v>
      </c>
      <c r="E236" s="20" t="e" cm="1">
        <f t="array" aca="1" ref="E236" ca="1">INDIRECT("'Uke "&amp;B236&amp;"'!AB"&amp;9+C236)</f>
        <v>#REF!</v>
      </c>
    </row>
    <row r="237" spans="1:5" x14ac:dyDescent="0.25">
      <c r="A237">
        <f t="shared" si="12"/>
        <v>2616</v>
      </c>
      <c r="B237">
        <f t="shared" si="9"/>
        <v>19</v>
      </c>
      <c r="C237">
        <f t="shared" si="13"/>
        <v>96</v>
      </c>
      <c r="D237" t="e" cm="1">
        <f t="array" aca="1" ref="D237" ca="1">INDIRECT("'Uke "&amp;B237&amp;"'!V"&amp;9+C237)</f>
        <v>#REF!</v>
      </c>
      <c r="E237" s="20" t="e" cm="1">
        <f t="array" aca="1" ref="E237" ca="1">INDIRECT("'Uke "&amp;B237&amp;"'!AB"&amp;9+C237)</f>
        <v>#REF!</v>
      </c>
    </row>
    <row r="238" spans="1:5" x14ac:dyDescent="0.25">
      <c r="A238">
        <f t="shared" si="12"/>
        <v>2617</v>
      </c>
      <c r="B238">
        <f t="shared" si="9"/>
        <v>19</v>
      </c>
      <c r="C238">
        <f t="shared" si="13"/>
        <v>97</v>
      </c>
      <c r="D238" t="e" cm="1">
        <f t="array" aca="1" ref="D238" ca="1">INDIRECT("'Uke "&amp;B238&amp;"'!V"&amp;9+C238)</f>
        <v>#REF!</v>
      </c>
      <c r="E238" s="20" t="e" cm="1">
        <f t="array" aca="1" ref="E238" ca="1">INDIRECT("'Uke "&amp;B238&amp;"'!AB"&amp;9+C238)</f>
        <v>#REF!</v>
      </c>
    </row>
    <row r="239" spans="1:5" x14ac:dyDescent="0.25">
      <c r="A239">
        <f t="shared" si="12"/>
        <v>2618</v>
      </c>
      <c r="B239">
        <f t="shared" si="9"/>
        <v>19</v>
      </c>
      <c r="C239">
        <f t="shared" si="13"/>
        <v>98</v>
      </c>
      <c r="D239" t="e" cm="1">
        <f t="array" aca="1" ref="D239" ca="1">INDIRECT("'Uke "&amp;B239&amp;"'!V"&amp;9+C239)</f>
        <v>#REF!</v>
      </c>
      <c r="E239" s="20" t="e" cm="1">
        <f t="array" aca="1" ref="E239" ca="1">INDIRECT("'Uke "&amp;B239&amp;"'!AB"&amp;9+C239)</f>
        <v>#REF!</v>
      </c>
    </row>
    <row r="240" spans="1:5" x14ac:dyDescent="0.25">
      <c r="A240">
        <f t="shared" si="12"/>
        <v>2619</v>
      </c>
      <c r="B240">
        <f t="shared" si="9"/>
        <v>19</v>
      </c>
      <c r="C240">
        <f t="shared" si="13"/>
        <v>99</v>
      </c>
      <c r="D240" t="e" cm="1">
        <f t="array" aca="1" ref="D240" ca="1">INDIRECT("'Uke "&amp;B240&amp;"'!V"&amp;9+C240)</f>
        <v>#REF!</v>
      </c>
      <c r="E240" s="20" t="e" cm="1">
        <f t="array" aca="1" ref="E240" ca="1">INDIRECT("'Uke "&amp;B240&amp;"'!AB"&amp;9+C240)</f>
        <v>#REF!</v>
      </c>
    </row>
    <row r="241" spans="1:5" x14ac:dyDescent="0.25">
      <c r="A241">
        <f t="shared" si="12"/>
        <v>2620</v>
      </c>
      <c r="B241">
        <f t="shared" si="9"/>
        <v>19</v>
      </c>
      <c r="C241">
        <f t="shared" si="13"/>
        <v>100</v>
      </c>
      <c r="D241" t="e" cm="1">
        <f t="array" aca="1" ref="D241" ca="1">INDIRECT("'Uke "&amp;B241&amp;"'!V"&amp;9+C241)</f>
        <v>#REF!</v>
      </c>
      <c r="E241" s="20" t="e" cm="1">
        <f t="array" aca="1" ref="E241" ca="1">INDIRECT("'Uke "&amp;B241&amp;"'!AB"&amp;9+C241)</f>
        <v>#REF!</v>
      </c>
    </row>
    <row r="242" spans="1:5" x14ac:dyDescent="0.25">
      <c r="A242">
        <f t="shared" si="12"/>
        <v>2621</v>
      </c>
      <c r="B242">
        <f t="shared" si="9"/>
        <v>19</v>
      </c>
      <c r="C242">
        <f t="shared" si="13"/>
        <v>101</v>
      </c>
      <c r="D242" t="e" cm="1">
        <f t="array" aca="1" ref="D242" ca="1">INDIRECT("'Uke "&amp;B242&amp;"'!V"&amp;9+C242)</f>
        <v>#REF!</v>
      </c>
      <c r="E242" s="20" t="e" cm="1">
        <f t="array" aca="1" ref="E242" ca="1">INDIRECT("'Uke "&amp;B242&amp;"'!AB"&amp;9+C242)</f>
        <v>#REF!</v>
      </c>
    </row>
    <row r="243" spans="1:5" x14ac:dyDescent="0.25">
      <c r="A243">
        <f t="shared" si="12"/>
        <v>2622</v>
      </c>
      <c r="B243">
        <f t="shared" si="9"/>
        <v>19</v>
      </c>
      <c r="C243">
        <f t="shared" si="13"/>
        <v>102</v>
      </c>
      <c r="D243" t="e" cm="1">
        <f t="array" aca="1" ref="D243" ca="1">INDIRECT("'Uke "&amp;B243&amp;"'!V"&amp;9+C243)</f>
        <v>#REF!</v>
      </c>
      <c r="E243" s="20" t="e" cm="1">
        <f t="array" aca="1" ref="E243" ca="1">INDIRECT("'Uke "&amp;B243&amp;"'!AB"&amp;9+C243)</f>
        <v>#REF!</v>
      </c>
    </row>
    <row r="244" spans="1:5" x14ac:dyDescent="0.25">
      <c r="A244">
        <f t="shared" si="12"/>
        <v>2623</v>
      </c>
      <c r="B244">
        <f t="shared" si="9"/>
        <v>19</v>
      </c>
      <c r="C244">
        <f t="shared" si="13"/>
        <v>103</v>
      </c>
      <c r="D244" t="e" cm="1">
        <f t="array" aca="1" ref="D244" ca="1">INDIRECT("'Uke "&amp;B244&amp;"'!V"&amp;9+C244)</f>
        <v>#REF!</v>
      </c>
      <c r="E244" s="20" t="e" cm="1">
        <f t="array" aca="1" ref="E244" ca="1">INDIRECT("'Uke "&amp;B244&amp;"'!AB"&amp;9+C244)</f>
        <v>#REF!</v>
      </c>
    </row>
    <row r="245" spans="1:5" x14ac:dyDescent="0.25">
      <c r="A245">
        <f t="shared" si="12"/>
        <v>2624</v>
      </c>
      <c r="B245">
        <f t="shared" si="9"/>
        <v>19</v>
      </c>
      <c r="C245">
        <f t="shared" si="13"/>
        <v>104</v>
      </c>
      <c r="D245" t="e" cm="1">
        <f t="array" aca="1" ref="D245" ca="1">INDIRECT("'Uke "&amp;B245&amp;"'!V"&amp;9+C245)</f>
        <v>#REF!</v>
      </c>
      <c r="E245" s="20" t="e" cm="1">
        <f t="array" aca="1" ref="E245" ca="1">INDIRECT("'Uke "&amp;B245&amp;"'!AB"&amp;9+C245)</f>
        <v>#REF!</v>
      </c>
    </row>
    <row r="246" spans="1:5" x14ac:dyDescent="0.25">
      <c r="A246">
        <f t="shared" si="12"/>
        <v>2625</v>
      </c>
      <c r="B246">
        <f t="shared" si="9"/>
        <v>19</v>
      </c>
      <c r="C246">
        <f t="shared" si="13"/>
        <v>105</v>
      </c>
      <c r="D246" t="e" cm="1">
        <f t="array" aca="1" ref="D246" ca="1">INDIRECT("'Uke "&amp;B246&amp;"'!V"&amp;9+C246)</f>
        <v>#REF!</v>
      </c>
      <c r="E246" s="20" t="e" cm="1">
        <f t="array" aca="1" ref="E246" ca="1">INDIRECT("'Uke "&amp;B246&amp;"'!AB"&amp;9+C246)</f>
        <v>#REF!</v>
      </c>
    </row>
    <row r="247" spans="1:5" x14ac:dyDescent="0.25">
      <c r="A247">
        <f t="shared" si="12"/>
        <v>2626</v>
      </c>
      <c r="B247">
        <f t="shared" si="9"/>
        <v>19</v>
      </c>
      <c r="C247">
        <f t="shared" si="13"/>
        <v>106</v>
      </c>
      <c r="D247" t="e" cm="1">
        <f t="array" aca="1" ref="D247" ca="1">INDIRECT("'Uke "&amp;B247&amp;"'!V"&amp;9+C247)</f>
        <v>#REF!</v>
      </c>
      <c r="E247" s="20" t="e" cm="1">
        <f t="array" aca="1" ref="E247" ca="1">INDIRECT("'Uke "&amp;B247&amp;"'!AB"&amp;9+C247)</f>
        <v>#REF!</v>
      </c>
    </row>
    <row r="248" spans="1:5" x14ac:dyDescent="0.25">
      <c r="A248">
        <f t="shared" si="12"/>
        <v>2627</v>
      </c>
      <c r="B248">
        <f t="shared" si="9"/>
        <v>19</v>
      </c>
      <c r="C248">
        <f t="shared" si="13"/>
        <v>107</v>
      </c>
      <c r="D248" t="e" cm="1">
        <f t="array" aca="1" ref="D248" ca="1">INDIRECT("'Uke "&amp;B248&amp;"'!V"&amp;9+C248)</f>
        <v>#REF!</v>
      </c>
      <c r="E248" s="20" t="e" cm="1">
        <f t="array" aca="1" ref="E248" ca="1">INDIRECT("'Uke "&amp;B248&amp;"'!AB"&amp;9+C248)</f>
        <v>#REF!</v>
      </c>
    </row>
    <row r="249" spans="1:5" x14ac:dyDescent="0.25">
      <c r="A249">
        <f t="shared" si="12"/>
        <v>2628</v>
      </c>
      <c r="B249">
        <f t="shared" si="9"/>
        <v>19</v>
      </c>
      <c r="C249">
        <f t="shared" si="13"/>
        <v>108</v>
      </c>
      <c r="D249" t="e" cm="1">
        <f t="array" aca="1" ref="D249" ca="1">INDIRECT("'Uke "&amp;B249&amp;"'!V"&amp;9+C249)</f>
        <v>#REF!</v>
      </c>
      <c r="E249" s="20" t="e" cm="1">
        <f t="array" aca="1" ref="E249" ca="1">INDIRECT("'Uke "&amp;B249&amp;"'!AB"&amp;9+C249)</f>
        <v>#REF!</v>
      </c>
    </row>
    <row r="250" spans="1:5" x14ac:dyDescent="0.25">
      <c r="A250">
        <f t="shared" si="12"/>
        <v>2629</v>
      </c>
      <c r="B250">
        <f t="shared" si="9"/>
        <v>19</v>
      </c>
      <c r="C250">
        <f t="shared" si="13"/>
        <v>109</v>
      </c>
      <c r="D250" t="e" cm="1">
        <f t="array" aca="1" ref="D250" ca="1">INDIRECT("'Uke "&amp;B250&amp;"'!V"&amp;9+C250)</f>
        <v>#REF!</v>
      </c>
      <c r="E250" s="20" t="e" cm="1">
        <f t="array" aca="1" ref="E250" ca="1">INDIRECT("'Uke "&amp;B250&amp;"'!AB"&amp;9+C250)</f>
        <v>#REF!</v>
      </c>
    </row>
    <row r="251" spans="1:5" x14ac:dyDescent="0.25">
      <c r="A251">
        <f t="shared" si="12"/>
        <v>2630</v>
      </c>
      <c r="B251">
        <f t="shared" si="9"/>
        <v>19</v>
      </c>
      <c r="C251">
        <f t="shared" si="13"/>
        <v>110</v>
      </c>
      <c r="D251" t="e" cm="1">
        <f t="array" aca="1" ref="D251" ca="1">INDIRECT("'Uke "&amp;B251&amp;"'!V"&amp;9+C251)</f>
        <v>#REF!</v>
      </c>
      <c r="E251" s="20" t="e" cm="1">
        <f t="array" aca="1" ref="E251" ca="1">INDIRECT("'Uke "&amp;B251&amp;"'!AB"&amp;9+C251)</f>
        <v>#REF!</v>
      </c>
    </row>
    <row r="252" spans="1:5" x14ac:dyDescent="0.25">
      <c r="A252">
        <f t="shared" si="12"/>
        <v>2631</v>
      </c>
      <c r="B252">
        <f t="shared" si="9"/>
        <v>19</v>
      </c>
      <c r="C252">
        <f t="shared" si="13"/>
        <v>111</v>
      </c>
      <c r="D252" t="e" cm="1">
        <f t="array" aca="1" ref="D252" ca="1">INDIRECT("'Uke "&amp;B252&amp;"'!V"&amp;9+C252)</f>
        <v>#REF!</v>
      </c>
      <c r="E252" s="20" t="e" cm="1">
        <f t="array" aca="1" ref="E252" ca="1">INDIRECT("'Uke "&amp;B252&amp;"'!AB"&amp;9+C252)</f>
        <v>#REF!</v>
      </c>
    </row>
    <row r="253" spans="1:5" x14ac:dyDescent="0.25">
      <c r="A253">
        <f t="shared" si="12"/>
        <v>2632</v>
      </c>
      <c r="B253">
        <f t="shared" si="9"/>
        <v>19</v>
      </c>
      <c r="C253">
        <f t="shared" si="13"/>
        <v>112</v>
      </c>
      <c r="D253" t="e" cm="1">
        <f t="array" aca="1" ref="D253" ca="1">INDIRECT("'Uke "&amp;B253&amp;"'!V"&amp;9+C253)</f>
        <v>#REF!</v>
      </c>
      <c r="E253" s="20" t="e" cm="1">
        <f t="array" aca="1" ref="E253" ca="1">INDIRECT("'Uke "&amp;B253&amp;"'!AB"&amp;9+C253)</f>
        <v>#REF!</v>
      </c>
    </row>
    <row r="254" spans="1:5" x14ac:dyDescent="0.25">
      <c r="A254">
        <f t="shared" si="12"/>
        <v>2633</v>
      </c>
      <c r="B254">
        <f t="shared" si="9"/>
        <v>19</v>
      </c>
      <c r="C254">
        <f t="shared" si="13"/>
        <v>113</v>
      </c>
      <c r="D254" t="e" cm="1">
        <f t="array" aca="1" ref="D254" ca="1">INDIRECT("'Uke "&amp;B254&amp;"'!V"&amp;9+C254)</f>
        <v>#REF!</v>
      </c>
      <c r="E254" s="20" t="e" cm="1">
        <f t="array" aca="1" ref="E254" ca="1">INDIRECT("'Uke "&amp;B254&amp;"'!AB"&amp;9+C254)</f>
        <v>#REF!</v>
      </c>
    </row>
    <row r="255" spans="1:5" x14ac:dyDescent="0.25">
      <c r="A255">
        <f t="shared" si="12"/>
        <v>2634</v>
      </c>
      <c r="B255">
        <f t="shared" si="9"/>
        <v>19</v>
      </c>
      <c r="C255">
        <f t="shared" si="13"/>
        <v>114</v>
      </c>
      <c r="D255" t="e" cm="1">
        <f t="array" aca="1" ref="D255" ca="1">INDIRECT("'Uke "&amp;B255&amp;"'!V"&amp;9+C255)</f>
        <v>#REF!</v>
      </c>
      <c r="E255" s="20" t="e" cm="1">
        <f t="array" aca="1" ref="E255" ca="1">INDIRECT("'Uke "&amp;B255&amp;"'!AB"&amp;9+C255)</f>
        <v>#REF!</v>
      </c>
    </row>
    <row r="256" spans="1:5" x14ac:dyDescent="0.25">
      <c r="A256">
        <f t="shared" si="12"/>
        <v>2635</v>
      </c>
      <c r="B256">
        <f t="shared" si="9"/>
        <v>19</v>
      </c>
      <c r="C256">
        <f t="shared" si="13"/>
        <v>115</v>
      </c>
      <c r="D256" t="e" cm="1">
        <f t="array" aca="1" ref="D256" ca="1">INDIRECT("'Uke "&amp;B256&amp;"'!V"&amp;9+C256)</f>
        <v>#REF!</v>
      </c>
      <c r="E256" s="20" t="e" cm="1">
        <f t="array" aca="1" ref="E256" ca="1">INDIRECT("'Uke "&amp;B256&amp;"'!AB"&amp;9+C256)</f>
        <v>#REF!</v>
      </c>
    </row>
    <row r="257" spans="1:5" x14ac:dyDescent="0.25">
      <c r="A257">
        <f t="shared" si="12"/>
        <v>2636</v>
      </c>
      <c r="B257">
        <f t="shared" si="9"/>
        <v>19</v>
      </c>
      <c r="C257">
        <f t="shared" si="13"/>
        <v>116</v>
      </c>
      <c r="D257" t="e" cm="1">
        <f t="array" aca="1" ref="D257" ca="1">INDIRECT("'Uke "&amp;B257&amp;"'!V"&amp;9+C257)</f>
        <v>#REF!</v>
      </c>
      <c r="E257" s="20" t="e" cm="1">
        <f t="array" aca="1" ref="E257" ca="1">INDIRECT("'Uke "&amp;B257&amp;"'!AB"&amp;9+C257)</f>
        <v>#REF!</v>
      </c>
    </row>
    <row r="258" spans="1:5" x14ac:dyDescent="0.25">
      <c r="A258">
        <f t="shared" si="12"/>
        <v>2637</v>
      </c>
      <c r="B258">
        <f t="shared" si="9"/>
        <v>19</v>
      </c>
      <c r="C258">
        <f t="shared" si="13"/>
        <v>117</v>
      </c>
      <c r="D258" t="e" cm="1">
        <f t="array" aca="1" ref="D258" ca="1">INDIRECT("'Uke "&amp;B258&amp;"'!V"&amp;9+C258)</f>
        <v>#REF!</v>
      </c>
      <c r="E258" s="20" t="e" cm="1">
        <f t="array" aca="1" ref="E258" ca="1">INDIRECT("'Uke "&amp;B258&amp;"'!AB"&amp;9+C258)</f>
        <v>#REF!</v>
      </c>
    </row>
    <row r="259" spans="1:5" x14ac:dyDescent="0.25">
      <c r="A259">
        <f t="shared" si="12"/>
        <v>2638</v>
      </c>
      <c r="B259">
        <f t="shared" si="9"/>
        <v>19</v>
      </c>
      <c r="C259">
        <f t="shared" si="13"/>
        <v>118</v>
      </c>
      <c r="D259" t="e" cm="1">
        <f t="array" aca="1" ref="D259" ca="1">INDIRECT("'Uke "&amp;B259&amp;"'!V"&amp;9+C259)</f>
        <v>#REF!</v>
      </c>
      <c r="E259" s="20" t="e" cm="1">
        <f t="array" aca="1" ref="E259" ca="1">INDIRECT("'Uke "&amp;B259&amp;"'!AB"&amp;9+C259)</f>
        <v>#REF!</v>
      </c>
    </row>
    <row r="260" spans="1:5" x14ac:dyDescent="0.25">
      <c r="A260">
        <f t="shared" si="12"/>
        <v>2639</v>
      </c>
      <c r="B260">
        <f t="shared" si="9"/>
        <v>19</v>
      </c>
      <c r="C260">
        <f t="shared" si="13"/>
        <v>119</v>
      </c>
      <c r="D260" t="e" cm="1">
        <f t="array" aca="1" ref="D260" ca="1">INDIRECT("'Uke "&amp;B260&amp;"'!V"&amp;9+C260)</f>
        <v>#REF!</v>
      </c>
      <c r="E260" s="20" t="e" cm="1">
        <f t="array" aca="1" ref="E260" ca="1">INDIRECT("'Uke "&amp;B260&amp;"'!AB"&amp;9+C260)</f>
        <v>#REF!</v>
      </c>
    </row>
    <row r="261" spans="1:5" x14ac:dyDescent="0.25">
      <c r="A261">
        <f t="shared" si="12"/>
        <v>2640</v>
      </c>
      <c r="B261">
        <f t="shared" si="9"/>
        <v>19</v>
      </c>
      <c r="C261">
        <f t="shared" si="13"/>
        <v>120</v>
      </c>
      <c r="D261" t="e" cm="1">
        <f t="array" aca="1" ref="D261" ca="1">INDIRECT("'Uke "&amp;B261&amp;"'!V"&amp;9+C261)</f>
        <v>#REF!</v>
      </c>
      <c r="E261" s="20" t="e" cm="1">
        <f t="array" aca="1" ref="E261" ca="1">INDIRECT("'Uke "&amp;B261&amp;"'!AB"&amp;9+C261)</f>
        <v>#REF!</v>
      </c>
    </row>
    <row r="262" spans="1:5" x14ac:dyDescent="0.25">
      <c r="A262">
        <f t="shared" si="12"/>
        <v>2641</v>
      </c>
      <c r="B262">
        <f t="shared" si="9"/>
        <v>19</v>
      </c>
      <c r="C262">
        <f t="shared" si="13"/>
        <v>121</v>
      </c>
      <c r="D262" t="e" cm="1">
        <f t="array" aca="1" ref="D262" ca="1">INDIRECT("'Uke "&amp;B262&amp;"'!V"&amp;9+C262)</f>
        <v>#REF!</v>
      </c>
      <c r="E262" s="20" t="e" cm="1">
        <f t="array" aca="1" ref="E262" ca="1">INDIRECT("'Uke "&amp;B262&amp;"'!AB"&amp;9+C262)</f>
        <v>#REF!</v>
      </c>
    </row>
    <row r="263" spans="1:5" x14ac:dyDescent="0.25">
      <c r="A263">
        <f t="shared" si="12"/>
        <v>2642</v>
      </c>
      <c r="B263">
        <f t="shared" si="9"/>
        <v>19</v>
      </c>
      <c r="C263">
        <f t="shared" si="13"/>
        <v>122</v>
      </c>
      <c r="D263" t="e" cm="1">
        <f t="array" aca="1" ref="D263" ca="1">INDIRECT("'Uke "&amp;B263&amp;"'!V"&amp;9+C263)</f>
        <v>#REF!</v>
      </c>
      <c r="E263" s="20" t="e" cm="1">
        <f t="array" aca="1" ref="E263" ca="1">INDIRECT("'Uke "&amp;B263&amp;"'!AB"&amp;9+C263)</f>
        <v>#REF!</v>
      </c>
    </row>
    <row r="264" spans="1:5" x14ac:dyDescent="0.25">
      <c r="A264">
        <f t="shared" si="12"/>
        <v>2643</v>
      </c>
      <c r="B264">
        <f t="shared" si="9"/>
        <v>19</v>
      </c>
      <c r="C264">
        <f t="shared" si="13"/>
        <v>123</v>
      </c>
      <c r="D264" t="e" cm="1">
        <f t="array" aca="1" ref="D264" ca="1">INDIRECT("'Uke "&amp;B264&amp;"'!V"&amp;9+C264)</f>
        <v>#REF!</v>
      </c>
      <c r="E264" s="20" t="e" cm="1">
        <f t="array" aca="1" ref="E264" ca="1">INDIRECT("'Uke "&amp;B264&amp;"'!AB"&amp;9+C264)</f>
        <v>#REF!</v>
      </c>
    </row>
    <row r="265" spans="1:5" x14ac:dyDescent="0.25">
      <c r="A265">
        <f t="shared" si="12"/>
        <v>2644</v>
      </c>
      <c r="B265">
        <f t="shared" si="9"/>
        <v>19</v>
      </c>
      <c r="C265">
        <f t="shared" si="13"/>
        <v>124</v>
      </c>
      <c r="D265" t="e" cm="1">
        <f t="array" aca="1" ref="D265" ca="1">INDIRECT("'Uke "&amp;B265&amp;"'!V"&amp;9+C265)</f>
        <v>#REF!</v>
      </c>
      <c r="E265" s="20" t="e" cm="1">
        <f t="array" aca="1" ref="E265" ca="1">INDIRECT("'Uke "&amp;B265&amp;"'!AB"&amp;9+C265)</f>
        <v>#REF!</v>
      </c>
    </row>
    <row r="266" spans="1:5" x14ac:dyDescent="0.25">
      <c r="A266">
        <f t="shared" si="12"/>
        <v>2645</v>
      </c>
      <c r="B266">
        <f t="shared" si="9"/>
        <v>19</v>
      </c>
      <c r="C266">
        <f t="shared" si="13"/>
        <v>125</v>
      </c>
      <c r="D266" t="e" cm="1">
        <f t="array" aca="1" ref="D266" ca="1">INDIRECT("'Uke "&amp;B266&amp;"'!V"&amp;9+C266)</f>
        <v>#REF!</v>
      </c>
      <c r="E266" s="20" t="e" cm="1">
        <f t="array" aca="1" ref="E266" ca="1">INDIRECT("'Uke "&amp;B266&amp;"'!AB"&amp;9+C266)</f>
        <v>#REF!</v>
      </c>
    </row>
    <row r="267" spans="1:5" x14ac:dyDescent="0.25">
      <c r="A267">
        <f t="shared" si="12"/>
        <v>2646</v>
      </c>
      <c r="B267">
        <f t="shared" si="9"/>
        <v>19</v>
      </c>
      <c r="C267">
        <f t="shared" si="13"/>
        <v>126</v>
      </c>
      <c r="D267" t="e" cm="1">
        <f t="array" aca="1" ref="D267" ca="1">INDIRECT("'Uke "&amp;B267&amp;"'!V"&amp;9+C267)</f>
        <v>#REF!</v>
      </c>
      <c r="E267" s="20" t="e" cm="1">
        <f t="array" aca="1" ref="E267" ca="1">INDIRECT("'Uke "&amp;B267&amp;"'!AB"&amp;9+C267)</f>
        <v>#REF!</v>
      </c>
    </row>
    <row r="268" spans="1:5" x14ac:dyDescent="0.25">
      <c r="A268">
        <f t="shared" si="12"/>
        <v>2647</v>
      </c>
      <c r="B268">
        <f t="shared" si="9"/>
        <v>19</v>
      </c>
      <c r="C268">
        <f t="shared" si="13"/>
        <v>127</v>
      </c>
      <c r="D268" t="e" cm="1">
        <f t="array" aca="1" ref="D268" ca="1">INDIRECT("'Uke "&amp;B268&amp;"'!V"&amp;9+C268)</f>
        <v>#REF!</v>
      </c>
      <c r="E268" s="20" t="e" cm="1">
        <f t="array" aca="1" ref="E268" ca="1">INDIRECT("'Uke "&amp;B268&amp;"'!AB"&amp;9+C268)</f>
        <v>#REF!</v>
      </c>
    </row>
    <row r="269" spans="1:5" x14ac:dyDescent="0.25">
      <c r="A269">
        <f t="shared" si="12"/>
        <v>2648</v>
      </c>
      <c r="B269">
        <f t="shared" si="9"/>
        <v>19</v>
      </c>
      <c r="C269">
        <f t="shared" si="13"/>
        <v>128</v>
      </c>
      <c r="D269" t="e" cm="1">
        <f t="array" aca="1" ref="D269" ca="1">INDIRECT("'Uke "&amp;B269&amp;"'!V"&amp;9+C269)</f>
        <v>#REF!</v>
      </c>
      <c r="E269" s="20" t="e" cm="1">
        <f t="array" aca="1" ref="E269" ca="1">INDIRECT("'Uke "&amp;B269&amp;"'!AB"&amp;9+C269)</f>
        <v>#REF!</v>
      </c>
    </row>
    <row r="270" spans="1:5" x14ac:dyDescent="0.25">
      <c r="A270">
        <f t="shared" si="12"/>
        <v>2649</v>
      </c>
      <c r="B270">
        <f t="shared" si="9"/>
        <v>19</v>
      </c>
      <c r="C270">
        <f t="shared" si="13"/>
        <v>129</v>
      </c>
      <c r="D270" t="e" cm="1">
        <f t="array" aca="1" ref="D270" ca="1">INDIRECT("'Uke "&amp;B270&amp;"'!V"&amp;9+C270)</f>
        <v>#REF!</v>
      </c>
      <c r="E270" s="20" t="e" cm="1">
        <f t="array" aca="1" ref="E270" ca="1">INDIRECT("'Uke "&amp;B270&amp;"'!AB"&amp;9+C270)</f>
        <v>#REF!</v>
      </c>
    </row>
    <row r="271" spans="1:5" x14ac:dyDescent="0.25">
      <c r="A271">
        <f t="shared" si="12"/>
        <v>2650</v>
      </c>
      <c r="B271">
        <f t="shared" si="9"/>
        <v>19</v>
      </c>
      <c r="C271">
        <f t="shared" si="13"/>
        <v>130</v>
      </c>
      <c r="D271" t="e" cm="1">
        <f t="array" aca="1" ref="D271" ca="1">INDIRECT("'Uke "&amp;B271&amp;"'!V"&amp;9+C271)</f>
        <v>#REF!</v>
      </c>
      <c r="E271" s="20" t="e" cm="1">
        <f t="array" aca="1" ref="E271" ca="1">INDIRECT("'Uke "&amp;B271&amp;"'!AB"&amp;9+C271)</f>
        <v>#REF!</v>
      </c>
    </row>
    <row r="272" spans="1:5" x14ac:dyDescent="0.25">
      <c r="A272">
        <f t="shared" si="12"/>
        <v>2651</v>
      </c>
      <c r="B272">
        <f t="shared" si="9"/>
        <v>19</v>
      </c>
      <c r="C272">
        <f t="shared" si="13"/>
        <v>131</v>
      </c>
      <c r="D272" t="e" cm="1">
        <f t="array" aca="1" ref="D272" ca="1">INDIRECT("'Uke "&amp;B272&amp;"'!V"&amp;9+C272)</f>
        <v>#REF!</v>
      </c>
      <c r="E272" s="20" t="e" cm="1">
        <f t="array" aca="1" ref="E272" ca="1">INDIRECT("'Uke "&amp;B272&amp;"'!AB"&amp;9+C272)</f>
        <v>#REF!</v>
      </c>
    </row>
    <row r="273" spans="1:5" x14ac:dyDescent="0.25">
      <c r="A273">
        <f t="shared" ref="A273:A336" si="14">A272+1</f>
        <v>2652</v>
      </c>
      <c r="B273">
        <f t="shared" si="9"/>
        <v>19</v>
      </c>
      <c r="C273">
        <f t="shared" ref="C273:C336" si="15">MOD(A273-1,140)+1</f>
        <v>132</v>
      </c>
      <c r="D273" t="e" cm="1">
        <f t="array" aca="1" ref="D273" ca="1">INDIRECT("'Uke "&amp;B273&amp;"'!V"&amp;9+C273)</f>
        <v>#REF!</v>
      </c>
      <c r="E273" s="20" t="e" cm="1">
        <f t="array" aca="1" ref="E273" ca="1">INDIRECT("'Uke "&amp;B273&amp;"'!AB"&amp;9+C273)</f>
        <v>#REF!</v>
      </c>
    </row>
    <row r="274" spans="1:5" x14ac:dyDescent="0.25">
      <c r="A274">
        <f t="shared" si="14"/>
        <v>2653</v>
      </c>
      <c r="B274">
        <f t="shared" si="9"/>
        <v>19</v>
      </c>
      <c r="C274">
        <f t="shared" si="15"/>
        <v>133</v>
      </c>
      <c r="D274" t="e" cm="1">
        <f t="array" aca="1" ref="D274" ca="1">INDIRECT("'Uke "&amp;B274&amp;"'!V"&amp;9+C274)</f>
        <v>#REF!</v>
      </c>
      <c r="E274" s="20" t="e" cm="1">
        <f t="array" aca="1" ref="E274" ca="1">INDIRECT("'Uke "&amp;B274&amp;"'!AB"&amp;9+C274)</f>
        <v>#REF!</v>
      </c>
    </row>
    <row r="275" spans="1:5" x14ac:dyDescent="0.25">
      <c r="A275">
        <f t="shared" si="14"/>
        <v>2654</v>
      </c>
      <c r="B275">
        <f t="shared" si="9"/>
        <v>19</v>
      </c>
      <c r="C275">
        <f t="shared" si="15"/>
        <v>134</v>
      </c>
      <c r="D275" t="e" cm="1">
        <f t="array" aca="1" ref="D275" ca="1">INDIRECT("'Uke "&amp;B275&amp;"'!V"&amp;9+C275)</f>
        <v>#REF!</v>
      </c>
      <c r="E275" s="20" t="e" cm="1">
        <f t="array" aca="1" ref="E275" ca="1">INDIRECT("'Uke "&amp;B275&amp;"'!AB"&amp;9+C275)</f>
        <v>#REF!</v>
      </c>
    </row>
    <row r="276" spans="1:5" x14ac:dyDescent="0.25">
      <c r="A276">
        <f t="shared" si="14"/>
        <v>2655</v>
      </c>
      <c r="B276">
        <f t="shared" si="9"/>
        <v>19</v>
      </c>
      <c r="C276">
        <f t="shared" si="15"/>
        <v>135</v>
      </c>
      <c r="D276" t="e" cm="1">
        <f t="array" aca="1" ref="D276" ca="1">INDIRECT("'Uke "&amp;B276&amp;"'!V"&amp;9+C276)</f>
        <v>#REF!</v>
      </c>
      <c r="E276" s="20" t="e" cm="1">
        <f t="array" aca="1" ref="E276" ca="1">INDIRECT("'Uke "&amp;B276&amp;"'!AB"&amp;9+C276)</f>
        <v>#REF!</v>
      </c>
    </row>
    <row r="277" spans="1:5" x14ac:dyDescent="0.25">
      <c r="A277">
        <f t="shared" si="14"/>
        <v>2656</v>
      </c>
      <c r="B277">
        <f t="shared" si="9"/>
        <v>19</v>
      </c>
      <c r="C277">
        <f t="shared" si="15"/>
        <v>136</v>
      </c>
      <c r="D277" t="e" cm="1">
        <f t="array" aca="1" ref="D277" ca="1">INDIRECT("'Uke "&amp;B277&amp;"'!V"&amp;9+C277)</f>
        <v>#REF!</v>
      </c>
      <c r="E277" s="20" t="e" cm="1">
        <f t="array" aca="1" ref="E277" ca="1">INDIRECT("'Uke "&amp;B277&amp;"'!AB"&amp;9+C277)</f>
        <v>#REF!</v>
      </c>
    </row>
    <row r="278" spans="1:5" x14ac:dyDescent="0.25">
      <c r="A278">
        <f t="shared" si="14"/>
        <v>2657</v>
      </c>
      <c r="B278">
        <f t="shared" si="9"/>
        <v>19</v>
      </c>
      <c r="C278">
        <f t="shared" si="15"/>
        <v>137</v>
      </c>
      <c r="D278" t="e" cm="1">
        <f t="array" aca="1" ref="D278" ca="1">INDIRECT("'Uke "&amp;B278&amp;"'!V"&amp;9+C278)</f>
        <v>#REF!</v>
      </c>
      <c r="E278" s="20" t="e" cm="1">
        <f t="array" aca="1" ref="E278" ca="1">INDIRECT("'Uke "&amp;B278&amp;"'!AB"&amp;9+C278)</f>
        <v>#REF!</v>
      </c>
    </row>
    <row r="279" spans="1:5" x14ac:dyDescent="0.25">
      <c r="A279">
        <f t="shared" si="14"/>
        <v>2658</v>
      </c>
      <c r="B279">
        <f t="shared" si="9"/>
        <v>19</v>
      </c>
      <c r="C279">
        <f t="shared" si="15"/>
        <v>138</v>
      </c>
      <c r="D279" t="e" cm="1">
        <f t="array" aca="1" ref="D279" ca="1">INDIRECT("'Uke "&amp;B279&amp;"'!V"&amp;9+C279)</f>
        <v>#REF!</v>
      </c>
      <c r="E279" s="20" t="e" cm="1">
        <f t="array" aca="1" ref="E279" ca="1">INDIRECT("'Uke "&amp;B279&amp;"'!AB"&amp;9+C279)</f>
        <v>#REF!</v>
      </c>
    </row>
    <row r="280" spans="1:5" x14ac:dyDescent="0.25">
      <c r="A280">
        <f t="shared" si="14"/>
        <v>2659</v>
      </c>
      <c r="B280">
        <f t="shared" si="9"/>
        <v>19</v>
      </c>
      <c r="C280">
        <f t="shared" si="15"/>
        <v>139</v>
      </c>
      <c r="D280" t="e" cm="1">
        <f t="array" aca="1" ref="D280" ca="1">INDIRECT("'Uke "&amp;B280&amp;"'!V"&amp;9+C280)</f>
        <v>#REF!</v>
      </c>
      <c r="E280" s="20" t="e" cm="1">
        <f t="array" aca="1" ref="E280" ca="1">INDIRECT("'Uke "&amp;B280&amp;"'!AB"&amp;9+C280)</f>
        <v>#REF!</v>
      </c>
    </row>
    <row r="281" spans="1:5" x14ac:dyDescent="0.25">
      <c r="A281">
        <f t="shared" si="14"/>
        <v>2660</v>
      </c>
      <c r="B281">
        <f t="shared" si="9"/>
        <v>19</v>
      </c>
      <c r="C281">
        <f t="shared" si="15"/>
        <v>140</v>
      </c>
      <c r="D281" t="e" cm="1">
        <f t="array" aca="1" ref="D281" ca="1">INDIRECT("'Uke "&amp;B281&amp;"'!V"&amp;9+C281)</f>
        <v>#REF!</v>
      </c>
      <c r="E281" s="20" t="e" cm="1">
        <f t="array" aca="1" ref="E281" ca="1">INDIRECT("'Uke "&amp;B281&amp;"'!AB"&amp;9+C281)</f>
        <v>#REF!</v>
      </c>
    </row>
    <row r="282" spans="1:5" x14ac:dyDescent="0.25">
      <c r="A282">
        <f t="shared" si="14"/>
        <v>2661</v>
      </c>
      <c r="B282">
        <f t="shared" si="9"/>
        <v>20</v>
      </c>
      <c r="C282">
        <f t="shared" si="15"/>
        <v>1</v>
      </c>
      <c r="D282" t="e" cm="1">
        <f t="array" aca="1" ref="D282" ca="1">INDIRECT("'Uke "&amp;B282&amp;"'!V"&amp;9+C282)</f>
        <v>#REF!</v>
      </c>
      <c r="E282" s="20" t="e" cm="1">
        <f t="array" aca="1" ref="E282" ca="1">INDIRECT("'Uke "&amp;B282&amp;"'!AB"&amp;9+C282)</f>
        <v>#REF!</v>
      </c>
    </row>
    <row r="283" spans="1:5" x14ac:dyDescent="0.25">
      <c r="A283">
        <f t="shared" si="14"/>
        <v>2662</v>
      </c>
      <c r="B283">
        <f t="shared" si="9"/>
        <v>20</v>
      </c>
      <c r="C283">
        <f t="shared" si="15"/>
        <v>2</v>
      </c>
      <c r="D283" t="e" cm="1">
        <f t="array" aca="1" ref="D283" ca="1">INDIRECT("'Uke "&amp;B283&amp;"'!V"&amp;9+C283)</f>
        <v>#REF!</v>
      </c>
      <c r="E283" s="20" t="e" cm="1">
        <f t="array" aca="1" ref="E283" ca="1">INDIRECT("'Uke "&amp;B283&amp;"'!AB"&amp;9+C283)</f>
        <v>#REF!</v>
      </c>
    </row>
    <row r="284" spans="1:5" x14ac:dyDescent="0.25">
      <c r="A284">
        <f t="shared" si="14"/>
        <v>2663</v>
      </c>
      <c r="B284">
        <f t="shared" si="9"/>
        <v>20</v>
      </c>
      <c r="C284">
        <f t="shared" si="15"/>
        <v>3</v>
      </c>
      <c r="D284" t="e" cm="1">
        <f t="array" aca="1" ref="D284" ca="1">INDIRECT("'Uke "&amp;B284&amp;"'!V"&amp;9+C284)</f>
        <v>#REF!</v>
      </c>
      <c r="E284" s="20" t="e" cm="1">
        <f t="array" aca="1" ref="E284" ca="1">INDIRECT("'Uke "&amp;B284&amp;"'!AB"&amp;9+C284)</f>
        <v>#REF!</v>
      </c>
    </row>
    <row r="285" spans="1:5" x14ac:dyDescent="0.25">
      <c r="A285">
        <f t="shared" si="14"/>
        <v>2664</v>
      </c>
      <c r="B285">
        <f t="shared" si="9"/>
        <v>20</v>
      </c>
      <c r="C285">
        <f t="shared" si="15"/>
        <v>4</v>
      </c>
      <c r="D285" t="e" cm="1">
        <f t="array" aca="1" ref="D285" ca="1">INDIRECT("'Uke "&amp;B285&amp;"'!V"&amp;9+C285)</f>
        <v>#REF!</v>
      </c>
      <c r="E285" s="20" t="e" cm="1">
        <f t="array" aca="1" ref="E285" ca="1">INDIRECT("'Uke "&amp;B285&amp;"'!AB"&amp;9+C285)</f>
        <v>#REF!</v>
      </c>
    </row>
    <row r="286" spans="1:5" x14ac:dyDescent="0.25">
      <c r="A286">
        <f t="shared" si="14"/>
        <v>2665</v>
      </c>
      <c r="B286">
        <f t="shared" si="9"/>
        <v>20</v>
      </c>
      <c r="C286">
        <f t="shared" si="15"/>
        <v>5</v>
      </c>
      <c r="D286" t="e" cm="1">
        <f t="array" aca="1" ref="D286" ca="1">INDIRECT("'Uke "&amp;B286&amp;"'!V"&amp;9+C286)</f>
        <v>#REF!</v>
      </c>
      <c r="E286" s="20" t="e" cm="1">
        <f t="array" aca="1" ref="E286" ca="1">INDIRECT("'Uke "&amp;B286&amp;"'!AB"&amp;9+C286)</f>
        <v>#REF!</v>
      </c>
    </row>
    <row r="287" spans="1:5" x14ac:dyDescent="0.25">
      <c r="A287">
        <f t="shared" si="14"/>
        <v>2666</v>
      </c>
      <c r="B287">
        <f t="shared" si="9"/>
        <v>20</v>
      </c>
      <c r="C287">
        <f t="shared" si="15"/>
        <v>6</v>
      </c>
      <c r="D287" t="e" cm="1">
        <f t="array" aca="1" ref="D287" ca="1">INDIRECT("'Uke "&amp;B287&amp;"'!V"&amp;9+C287)</f>
        <v>#REF!</v>
      </c>
      <c r="E287" s="20" t="e" cm="1">
        <f t="array" aca="1" ref="E287" ca="1">INDIRECT("'Uke "&amp;B287&amp;"'!AB"&amp;9+C287)</f>
        <v>#REF!</v>
      </c>
    </row>
    <row r="288" spans="1:5" x14ac:dyDescent="0.25">
      <c r="A288">
        <f t="shared" si="14"/>
        <v>2667</v>
      </c>
      <c r="B288">
        <f t="shared" si="9"/>
        <v>20</v>
      </c>
      <c r="C288">
        <f t="shared" si="15"/>
        <v>7</v>
      </c>
      <c r="D288" t="e" cm="1">
        <f t="array" aca="1" ref="D288" ca="1">INDIRECT("'Uke "&amp;B288&amp;"'!V"&amp;9+C288)</f>
        <v>#REF!</v>
      </c>
      <c r="E288" s="20" t="e" cm="1">
        <f t="array" aca="1" ref="E288" ca="1">INDIRECT("'Uke "&amp;B288&amp;"'!AB"&amp;9+C288)</f>
        <v>#REF!</v>
      </c>
    </row>
    <row r="289" spans="1:5" x14ac:dyDescent="0.25">
      <c r="A289">
        <f t="shared" si="14"/>
        <v>2668</v>
      </c>
      <c r="B289">
        <f t="shared" si="9"/>
        <v>20</v>
      </c>
      <c r="C289">
        <f t="shared" si="15"/>
        <v>8</v>
      </c>
      <c r="D289" t="e" cm="1">
        <f t="array" aca="1" ref="D289" ca="1">INDIRECT("'Uke "&amp;B289&amp;"'!V"&amp;9+C289)</f>
        <v>#REF!</v>
      </c>
      <c r="E289" s="20" t="e" cm="1">
        <f t="array" aca="1" ref="E289" ca="1">INDIRECT("'Uke "&amp;B289&amp;"'!AB"&amp;9+C289)</f>
        <v>#REF!</v>
      </c>
    </row>
    <row r="290" spans="1:5" x14ac:dyDescent="0.25">
      <c r="A290">
        <f t="shared" si="14"/>
        <v>2669</v>
      </c>
      <c r="B290">
        <f t="shared" si="9"/>
        <v>20</v>
      </c>
      <c r="C290">
        <f t="shared" si="15"/>
        <v>9</v>
      </c>
      <c r="D290" t="e" cm="1">
        <f t="array" aca="1" ref="D290" ca="1">INDIRECT("'Uke "&amp;B290&amp;"'!V"&amp;9+C290)</f>
        <v>#REF!</v>
      </c>
      <c r="E290" s="20" t="e" cm="1">
        <f t="array" aca="1" ref="E290" ca="1">INDIRECT("'Uke "&amp;B290&amp;"'!AB"&amp;9+C290)</f>
        <v>#REF!</v>
      </c>
    </row>
    <row r="291" spans="1:5" x14ac:dyDescent="0.25">
      <c r="A291">
        <f t="shared" si="14"/>
        <v>2670</v>
      </c>
      <c r="B291">
        <f t="shared" si="9"/>
        <v>20</v>
      </c>
      <c r="C291">
        <f t="shared" si="15"/>
        <v>10</v>
      </c>
      <c r="D291" t="e" cm="1">
        <f t="array" aca="1" ref="D291" ca="1">INDIRECT("'Uke "&amp;B291&amp;"'!V"&amp;9+C291)</f>
        <v>#REF!</v>
      </c>
      <c r="E291" s="20" t="e" cm="1">
        <f t="array" aca="1" ref="E291" ca="1">INDIRECT("'Uke "&amp;B291&amp;"'!AB"&amp;9+C291)</f>
        <v>#REF!</v>
      </c>
    </row>
    <row r="292" spans="1:5" x14ac:dyDescent="0.25">
      <c r="A292">
        <f t="shared" si="14"/>
        <v>2671</v>
      </c>
      <c r="B292">
        <f t="shared" si="9"/>
        <v>20</v>
      </c>
      <c r="C292">
        <f t="shared" si="15"/>
        <v>11</v>
      </c>
      <c r="D292" t="e" cm="1">
        <f t="array" aca="1" ref="D292" ca="1">INDIRECT("'Uke "&amp;B292&amp;"'!V"&amp;9+C292)</f>
        <v>#REF!</v>
      </c>
      <c r="E292" s="20" t="e" cm="1">
        <f t="array" aca="1" ref="E292" ca="1">INDIRECT("'Uke "&amp;B292&amp;"'!AB"&amp;9+C292)</f>
        <v>#REF!</v>
      </c>
    </row>
    <row r="293" spans="1:5" x14ac:dyDescent="0.25">
      <c r="A293">
        <f t="shared" si="14"/>
        <v>2672</v>
      </c>
      <c r="B293">
        <f t="shared" si="9"/>
        <v>20</v>
      </c>
      <c r="C293">
        <f t="shared" si="15"/>
        <v>12</v>
      </c>
      <c r="D293" t="e" cm="1">
        <f t="array" aca="1" ref="D293" ca="1">INDIRECT("'Uke "&amp;B293&amp;"'!V"&amp;9+C293)</f>
        <v>#REF!</v>
      </c>
      <c r="E293" s="20" t="e" cm="1">
        <f t="array" aca="1" ref="E293" ca="1">INDIRECT("'Uke "&amp;B293&amp;"'!AB"&amp;9+C293)</f>
        <v>#REF!</v>
      </c>
    </row>
    <row r="294" spans="1:5" x14ac:dyDescent="0.25">
      <c r="A294">
        <f t="shared" si="14"/>
        <v>2673</v>
      </c>
      <c r="B294">
        <f t="shared" si="9"/>
        <v>20</v>
      </c>
      <c r="C294">
        <f t="shared" si="15"/>
        <v>13</v>
      </c>
      <c r="D294" t="e" cm="1">
        <f t="array" aca="1" ref="D294" ca="1">INDIRECT("'Uke "&amp;B294&amp;"'!V"&amp;9+C294)</f>
        <v>#REF!</v>
      </c>
      <c r="E294" s="20" t="e" cm="1">
        <f t="array" aca="1" ref="E294" ca="1">INDIRECT("'Uke "&amp;B294&amp;"'!AB"&amp;9+C294)</f>
        <v>#REF!</v>
      </c>
    </row>
    <row r="295" spans="1:5" x14ac:dyDescent="0.25">
      <c r="A295">
        <f t="shared" si="14"/>
        <v>2674</v>
      </c>
      <c r="B295">
        <f t="shared" si="9"/>
        <v>20</v>
      </c>
      <c r="C295">
        <f t="shared" si="15"/>
        <v>14</v>
      </c>
      <c r="D295" t="e" cm="1">
        <f t="array" aca="1" ref="D295" ca="1">INDIRECT("'Uke "&amp;B295&amp;"'!V"&amp;9+C295)</f>
        <v>#REF!</v>
      </c>
      <c r="E295" s="20" t="e" cm="1">
        <f t="array" aca="1" ref="E295" ca="1">INDIRECT("'Uke "&amp;B295&amp;"'!AB"&amp;9+C295)</f>
        <v>#REF!</v>
      </c>
    </row>
    <row r="296" spans="1:5" x14ac:dyDescent="0.25">
      <c r="A296">
        <f t="shared" si="14"/>
        <v>2675</v>
      </c>
      <c r="B296">
        <f t="shared" si="9"/>
        <v>20</v>
      </c>
      <c r="C296">
        <f t="shared" si="15"/>
        <v>15</v>
      </c>
      <c r="D296" t="e" cm="1">
        <f t="array" aca="1" ref="D296" ca="1">INDIRECT("'Uke "&amp;B296&amp;"'!V"&amp;9+C296)</f>
        <v>#REF!</v>
      </c>
      <c r="E296" s="20" t="e" cm="1">
        <f t="array" aca="1" ref="E296" ca="1">INDIRECT("'Uke "&amp;B296&amp;"'!AB"&amp;9+C296)</f>
        <v>#REF!</v>
      </c>
    </row>
    <row r="297" spans="1:5" x14ac:dyDescent="0.25">
      <c r="A297">
        <f t="shared" si="14"/>
        <v>2676</v>
      </c>
      <c r="B297">
        <f t="shared" si="9"/>
        <v>20</v>
      </c>
      <c r="C297">
        <f t="shared" si="15"/>
        <v>16</v>
      </c>
      <c r="D297" t="e" cm="1">
        <f t="array" aca="1" ref="D297" ca="1">INDIRECT("'Uke "&amp;B297&amp;"'!V"&amp;9+C297)</f>
        <v>#REF!</v>
      </c>
      <c r="E297" s="20" t="e" cm="1">
        <f t="array" aca="1" ref="E297" ca="1">INDIRECT("'Uke "&amp;B297&amp;"'!AB"&amp;9+C297)</f>
        <v>#REF!</v>
      </c>
    </row>
    <row r="298" spans="1:5" x14ac:dyDescent="0.25">
      <c r="A298">
        <f t="shared" si="14"/>
        <v>2677</v>
      </c>
      <c r="B298">
        <f t="shared" si="9"/>
        <v>20</v>
      </c>
      <c r="C298">
        <f t="shared" si="15"/>
        <v>17</v>
      </c>
      <c r="D298" t="e" cm="1">
        <f t="array" aca="1" ref="D298" ca="1">INDIRECT("'Uke "&amp;B298&amp;"'!V"&amp;9+C298)</f>
        <v>#REF!</v>
      </c>
      <c r="E298" s="20" t="e" cm="1">
        <f t="array" aca="1" ref="E298" ca="1">INDIRECT("'Uke "&amp;B298&amp;"'!AB"&amp;9+C298)</f>
        <v>#REF!</v>
      </c>
    </row>
    <row r="299" spans="1:5" x14ac:dyDescent="0.25">
      <c r="A299">
        <f t="shared" si="14"/>
        <v>2678</v>
      </c>
      <c r="B299">
        <f t="shared" si="9"/>
        <v>20</v>
      </c>
      <c r="C299">
        <f t="shared" si="15"/>
        <v>18</v>
      </c>
      <c r="D299" t="e" cm="1">
        <f t="array" aca="1" ref="D299" ca="1">INDIRECT("'Uke "&amp;B299&amp;"'!V"&amp;9+C299)</f>
        <v>#REF!</v>
      </c>
      <c r="E299" s="20" t="e" cm="1">
        <f t="array" aca="1" ref="E299" ca="1">INDIRECT("'Uke "&amp;B299&amp;"'!AB"&amp;9+C299)</f>
        <v>#REF!</v>
      </c>
    </row>
    <row r="300" spans="1:5" x14ac:dyDescent="0.25">
      <c r="A300">
        <f t="shared" si="14"/>
        <v>2679</v>
      </c>
      <c r="B300">
        <f t="shared" si="9"/>
        <v>20</v>
      </c>
      <c r="C300">
        <f t="shared" si="15"/>
        <v>19</v>
      </c>
      <c r="D300" t="e" cm="1">
        <f t="array" aca="1" ref="D300" ca="1">INDIRECT("'Uke "&amp;B300&amp;"'!V"&amp;9+C300)</f>
        <v>#REF!</v>
      </c>
      <c r="E300" s="20" t="e" cm="1">
        <f t="array" aca="1" ref="E300" ca="1">INDIRECT("'Uke "&amp;B300&amp;"'!AB"&amp;9+C300)</f>
        <v>#REF!</v>
      </c>
    </row>
    <row r="301" spans="1:5" x14ac:dyDescent="0.25">
      <c r="A301">
        <f t="shared" si="14"/>
        <v>2680</v>
      </c>
      <c r="B301">
        <f t="shared" si="9"/>
        <v>20</v>
      </c>
      <c r="C301">
        <f t="shared" si="15"/>
        <v>20</v>
      </c>
      <c r="D301" t="e" cm="1">
        <f t="array" aca="1" ref="D301" ca="1">INDIRECT("'Uke "&amp;B301&amp;"'!V"&amp;9+C301)</f>
        <v>#REF!</v>
      </c>
      <c r="E301" s="20" t="e" cm="1">
        <f t="array" aca="1" ref="E301" ca="1">INDIRECT("'Uke "&amp;B301&amp;"'!AB"&amp;9+C301)</f>
        <v>#REF!</v>
      </c>
    </row>
    <row r="302" spans="1:5" x14ac:dyDescent="0.25">
      <c r="A302">
        <f t="shared" si="14"/>
        <v>2681</v>
      </c>
      <c r="B302">
        <f t="shared" si="9"/>
        <v>20</v>
      </c>
      <c r="C302">
        <f t="shared" si="15"/>
        <v>21</v>
      </c>
      <c r="D302" t="e" cm="1">
        <f t="array" aca="1" ref="D302" ca="1">INDIRECT("'Uke "&amp;B302&amp;"'!V"&amp;9+C302)</f>
        <v>#REF!</v>
      </c>
      <c r="E302" s="20" t="e" cm="1">
        <f t="array" aca="1" ref="E302" ca="1">INDIRECT("'Uke "&amp;B302&amp;"'!AB"&amp;9+C302)</f>
        <v>#REF!</v>
      </c>
    </row>
    <row r="303" spans="1:5" x14ac:dyDescent="0.25">
      <c r="A303">
        <f t="shared" si="14"/>
        <v>2682</v>
      </c>
      <c r="B303">
        <f t="shared" si="9"/>
        <v>20</v>
      </c>
      <c r="C303">
        <f t="shared" si="15"/>
        <v>22</v>
      </c>
      <c r="D303" t="e" cm="1">
        <f t="array" aca="1" ref="D303" ca="1">INDIRECT("'Uke "&amp;B303&amp;"'!V"&amp;9+C303)</f>
        <v>#REF!</v>
      </c>
      <c r="E303" s="20" t="e" cm="1">
        <f t="array" aca="1" ref="E303" ca="1">INDIRECT("'Uke "&amp;B303&amp;"'!AB"&amp;9+C303)</f>
        <v>#REF!</v>
      </c>
    </row>
    <row r="304" spans="1:5" x14ac:dyDescent="0.25">
      <c r="A304">
        <f t="shared" si="14"/>
        <v>2683</v>
      </c>
      <c r="B304">
        <f t="shared" si="9"/>
        <v>20</v>
      </c>
      <c r="C304">
        <f t="shared" si="15"/>
        <v>23</v>
      </c>
      <c r="D304" t="e" cm="1">
        <f t="array" aca="1" ref="D304" ca="1">INDIRECT("'Uke "&amp;B304&amp;"'!V"&amp;9+C304)</f>
        <v>#REF!</v>
      </c>
      <c r="E304" s="20" t="e" cm="1">
        <f t="array" aca="1" ref="E304" ca="1">INDIRECT("'Uke "&amp;B304&amp;"'!AB"&amp;9+C304)</f>
        <v>#REF!</v>
      </c>
    </row>
    <row r="305" spans="1:5" x14ac:dyDescent="0.25">
      <c r="A305">
        <f t="shared" si="14"/>
        <v>2684</v>
      </c>
      <c r="B305">
        <f t="shared" si="9"/>
        <v>20</v>
      </c>
      <c r="C305">
        <f t="shared" si="15"/>
        <v>24</v>
      </c>
      <c r="D305" t="e" cm="1">
        <f t="array" aca="1" ref="D305" ca="1">INDIRECT("'Uke "&amp;B305&amp;"'!V"&amp;9+C305)</f>
        <v>#REF!</v>
      </c>
      <c r="E305" s="20" t="e" cm="1">
        <f t="array" aca="1" ref="E305" ca="1">INDIRECT("'Uke "&amp;B305&amp;"'!AB"&amp;9+C305)</f>
        <v>#REF!</v>
      </c>
    </row>
    <row r="306" spans="1:5" x14ac:dyDescent="0.25">
      <c r="A306">
        <f t="shared" si="14"/>
        <v>2685</v>
      </c>
      <c r="B306">
        <f t="shared" si="9"/>
        <v>20</v>
      </c>
      <c r="C306">
        <f t="shared" si="15"/>
        <v>25</v>
      </c>
      <c r="D306" t="e" cm="1">
        <f t="array" aca="1" ref="D306" ca="1">INDIRECT("'Uke "&amp;B306&amp;"'!V"&amp;9+C306)</f>
        <v>#REF!</v>
      </c>
      <c r="E306" s="20" t="e" cm="1">
        <f t="array" aca="1" ref="E306" ca="1">INDIRECT("'Uke "&amp;B306&amp;"'!AB"&amp;9+C306)</f>
        <v>#REF!</v>
      </c>
    </row>
    <row r="307" spans="1:5" x14ac:dyDescent="0.25">
      <c r="A307">
        <f t="shared" si="14"/>
        <v>2686</v>
      </c>
      <c r="B307">
        <f t="shared" si="9"/>
        <v>20</v>
      </c>
      <c r="C307">
        <f t="shared" si="15"/>
        <v>26</v>
      </c>
      <c r="D307" t="e" cm="1">
        <f t="array" aca="1" ref="D307" ca="1">INDIRECT("'Uke "&amp;B307&amp;"'!V"&amp;9+C307)</f>
        <v>#REF!</v>
      </c>
      <c r="E307" s="20" t="e" cm="1">
        <f t="array" aca="1" ref="E307" ca="1">INDIRECT("'Uke "&amp;B307&amp;"'!AB"&amp;9+C307)</f>
        <v>#REF!</v>
      </c>
    </row>
    <row r="308" spans="1:5" x14ac:dyDescent="0.25">
      <c r="A308">
        <f t="shared" si="14"/>
        <v>2687</v>
      </c>
      <c r="B308">
        <f t="shared" si="9"/>
        <v>20</v>
      </c>
      <c r="C308">
        <f t="shared" si="15"/>
        <v>27</v>
      </c>
      <c r="D308" t="e" cm="1">
        <f t="array" aca="1" ref="D308" ca="1">INDIRECT("'Uke "&amp;B308&amp;"'!V"&amp;9+C308)</f>
        <v>#REF!</v>
      </c>
      <c r="E308" s="20" t="e" cm="1">
        <f t="array" aca="1" ref="E308" ca="1">INDIRECT("'Uke "&amp;B308&amp;"'!AB"&amp;9+C308)</f>
        <v>#REF!</v>
      </c>
    </row>
    <row r="309" spans="1:5" x14ac:dyDescent="0.25">
      <c r="A309">
        <f t="shared" si="14"/>
        <v>2688</v>
      </c>
      <c r="B309">
        <f t="shared" si="9"/>
        <v>20</v>
      </c>
      <c r="C309">
        <f t="shared" si="15"/>
        <v>28</v>
      </c>
      <c r="D309" t="e" cm="1">
        <f t="array" aca="1" ref="D309" ca="1">INDIRECT("'Uke "&amp;B309&amp;"'!V"&amp;9+C309)</f>
        <v>#REF!</v>
      </c>
      <c r="E309" s="20" t="e" cm="1">
        <f t="array" aca="1" ref="E309" ca="1">INDIRECT("'Uke "&amp;B309&amp;"'!AB"&amp;9+C309)</f>
        <v>#REF!</v>
      </c>
    </row>
    <row r="310" spans="1:5" x14ac:dyDescent="0.25">
      <c r="A310">
        <f t="shared" si="14"/>
        <v>2689</v>
      </c>
      <c r="B310">
        <f t="shared" si="9"/>
        <v>20</v>
      </c>
      <c r="C310">
        <f t="shared" si="15"/>
        <v>29</v>
      </c>
      <c r="D310" t="e" cm="1">
        <f t="array" aca="1" ref="D310" ca="1">INDIRECT("'Uke "&amp;B310&amp;"'!V"&amp;9+C310)</f>
        <v>#REF!</v>
      </c>
      <c r="E310" s="20" t="e" cm="1">
        <f t="array" aca="1" ref="E310" ca="1">INDIRECT("'Uke "&amp;B310&amp;"'!AB"&amp;9+C310)</f>
        <v>#REF!</v>
      </c>
    </row>
    <row r="311" spans="1:5" x14ac:dyDescent="0.25">
      <c r="A311">
        <f t="shared" si="14"/>
        <v>2690</v>
      </c>
      <c r="B311">
        <f t="shared" si="9"/>
        <v>20</v>
      </c>
      <c r="C311">
        <f t="shared" si="15"/>
        <v>30</v>
      </c>
      <c r="D311" t="e" cm="1">
        <f t="array" aca="1" ref="D311" ca="1">INDIRECT("'Uke "&amp;B311&amp;"'!V"&amp;9+C311)</f>
        <v>#REF!</v>
      </c>
      <c r="E311" s="20" t="e" cm="1">
        <f t="array" aca="1" ref="E311" ca="1">INDIRECT("'Uke "&amp;B311&amp;"'!AB"&amp;9+C311)</f>
        <v>#REF!</v>
      </c>
    </row>
    <row r="312" spans="1:5" x14ac:dyDescent="0.25">
      <c r="A312">
        <f t="shared" si="14"/>
        <v>2691</v>
      </c>
      <c r="B312">
        <f t="shared" si="9"/>
        <v>20</v>
      </c>
      <c r="C312">
        <f t="shared" si="15"/>
        <v>31</v>
      </c>
      <c r="D312" t="e" cm="1">
        <f t="array" aca="1" ref="D312" ca="1">INDIRECT("'Uke "&amp;B312&amp;"'!V"&amp;9+C312)</f>
        <v>#REF!</v>
      </c>
      <c r="E312" s="20" t="e" cm="1">
        <f t="array" aca="1" ref="E312" ca="1">INDIRECT("'Uke "&amp;B312&amp;"'!AB"&amp;9+C312)</f>
        <v>#REF!</v>
      </c>
    </row>
    <row r="313" spans="1:5" x14ac:dyDescent="0.25">
      <c r="A313">
        <f t="shared" si="14"/>
        <v>2692</v>
      </c>
      <c r="B313">
        <f t="shared" si="9"/>
        <v>20</v>
      </c>
      <c r="C313">
        <f t="shared" si="15"/>
        <v>32</v>
      </c>
      <c r="D313" t="e" cm="1">
        <f t="array" aca="1" ref="D313" ca="1">INDIRECT("'Uke "&amp;B313&amp;"'!V"&amp;9+C313)</f>
        <v>#REF!</v>
      </c>
      <c r="E313" s="20" t="e" cm="1">
        <f t="array" aca="1" ref="E313" ca="1">INDIRECT("'Uke "&amp;B313&amp;"'!AB"&amp;9+C313)</f>
        <v>#REF!</v>
      </c>
    </row>
    <row r="314" spans="1:5" x14ac:dyDescent="0.25">
      <c r="A314">
        <f t="shared" si="14"/>
        <v>2693</v>
      </c>
      <c r="B314">
        <f t="shared" si="9"/>
        <v>20</v>
      </c>
      <c r="C314">
        <f t="shared" si="15"/>
        <v>33</v>
      </c>
      <c r="D314" t="e" cm="1">
        <f t="array" aca="1" ref="D314" ca="1">INDIRECT("'Uke "&amp;B314&amp;"'!V"&amp;9+C314)</f>
        <v>#REF!</v>
      </c>
      <c r="E314" s="20" t="e" cm="1">
        <f t="array" aca="1" ref="E314" ca="1">INDIRECT("'Uke "&amp;B314&amp;"'!AB"&amp;9+C314)</f>
        <v>#REF!</v>
      </c>
    </row>
    <row r="315" spans="1:5" x14ac:dyDescent="0.25">
      <c r="A315">
        <f t="shared" si="14"/>
        <v>2694</v>
      </c>
      <c r="B315">
        <f t="shared" si="9"/>
        <v>20</v>
      </c>
      <c r="C315">
        <f t="shared" si="15"/>
        <v>34</v>
      </c>
      <c r="D315" t="e" cm="1">
        <f t="array" aca="1" ref="D315" ca="1">INDIRECT("'Uke "&amp;B315&amp;"'!V"&amp;9+C315)</f>
        <v>#REF!</v>
      </c>
      <c r="E315" s="20" t="e" cm="1">
        <f t="array" aca="1" ref="E315" ca="1">INDIRECT("'Uke "&amp;B315&amp;"'!AB"&amp;9+C315)</f>
        <v>#REF!</v>
      </c>
    </row>
    <row r="316" spans="1:5" x14ac:dyDescent="0.25">
      <c r="A316">
        <f t="shared" si="14"/>
        <v>2695</v>
      </c>
      <c r="B316">
        <f t="shared" si="9"/>
        <v>20</v>
      </c>
      <c r="C316">
        <f t="shared" si="15"/>
        <v>35</v>
      </c>
      <c r="D316" t="e" cm="1">
        <f t="array" aca="1" ref="D316" ca="1">INDIRECT("'Uke "&amp;B316&amp;"'!V"&amp;9+C316)</f>
        <v>#REF!</v>
      </c>
      <c r="E316" s="20" t="e" cm="1">
        <f t="array" aca="1" ref="E316" ca="1">INDIRECT("'Uke "&amp;B316&amp;"'!AB"&amp;9+C316)</f>
        <v>#REF!</v>
      </c>
    </row>
    <row r="317" spans="1:5" x14ac:dyDescent="0.25">
      <c r="A317">
        <f t="shared" si="14"/>
        <v>2696</v>
      </c>
      <c r="B317">
        <f t="shared" si="9"/>
        <v>20</v>
      </c>
      <c r="C317">
        <f t="shared" si="15"/>
        <v>36</v>
      </c>
      <c r="D317" t="e" cm="1">
        <f t="array" aca="1" ref="D317" ca="1">INDIRECT("'Uke "&amp;B317&amp;"'!V"&amp;9+C317)</f>
        <v>#REF!</v>
      </c>
      <c r="E317" s="20" t="e" cm="1">
        <f t="array" aca="1" ref="E317" ca="1">INDIRECT("'Uke "&amp;B317&amp;"'!AB"&amp;9+C317)</f>
        <v>#REF!</v>
      </c>
    </row>
    <row r="318" spans="1:5" x14ac:dyDescent="0.25">
      <c r="A318">
        <f t="shared" si="14"/>
        <v>2697</v>
      </c>
      <c r="B318">
        <f t="shared" si="9"/>
        <v>20</v>
      </c>
      <c r="C318">
        <f t="shared" si="15"/>
        <v>37</v>
      </c>
      <c r="D318" t="e" cm="1">
        <f t="array" aca="1" ref="D318" ca="1">INDIRECT("'Uke "&amp;B318&amp;"'!V"&amp;9+C318)</f>
        <v>#REF!</v>
      </c>
      <c r="E318" s="20" t="e" cm="1">
        <f t="array" aca="1" ref="E318" ca="1">INDIRECT("'Uke "&amp;B318&amp;"'!AB"&amp;9+C318)</f>
        <v>#REF!</v>
      </c>
    </row>
    <row r="319" spans="1:5" x14ac:dyDescent="0.25">
      <c r="A319">
        <f t="shared" si="14"/>
        <v>2698</v>
      </c>
      <c r="B319">
        <f t="shared" si="9"/>
        <v>20</v>
      </c>
      <c r="C319">
        <f t="shared" si="15"/>
        <v>38</v>
      </c>
      <c r="D319" t="e" cm="1">
        <f t="array" aca="1" ref="D319" ca="1">INDIRECT("'Uke "&amp;B319&amp;"'!V"&amp;9+C319)</f>
        <v>#REF!</v>
      </c>
      <c r="E319" s="20" t="e" cm="1">
        <f t="array" aca="1" ref="E319" ca="1">INDIRECT("'Uke "&amp;B319&amp;"'!AB"&amp;9+C319)</f>
        <v>#REF!</v>
      </c>
    </row>
    <row r="320" spans="1:5" x14ac:dyDescent="0.25">
      <c r="A320">
        <f t="shared" si="14"/>
        <v>2699</v>
      </c>
      <c r="B320">
        <f t="shared" si="9"/>
        <v>20</v>
      </c>
      <c r="C320">
        <f t="shared" si="15"/>
        <v>39</v>
      </c>
      <c r="D320" t="e" cm="1">
        <f t="array" aca="1" ref="D320" ca="1">INDIRECT("'Uke "&amp;B320&amp;"'!V"&amp;9+C320)</f>
        <v>#REF!</v>
      </c>
      <c r="E320" s="20" t="e" cm="1">
        <f t="array" aca="1" ref="E320" ca="1">INDIRECT("'Uke "&amp;B320&amp;"'!AB"&amp;9+C320)</f>
        <v>#REF!</v>
      </c>
    </row>
    <row r="321" spans="1:5" x14ac:dyDescent="0.25">
      <c r="A321">
        <f t="shared" si="14"/>
        <v>2700</v>
      </c>
      <c r="B321">
        <f t="shared" si="9"/>
        <v>20</v>
      </c>
      <c r="C321">
        <f t="shared" si="15"/>
        <v>40</v>
      </c>
      <c r="D321" t="e" cm="1">
        <f t="array" aca="1" ref="D321" ca="1">INDIRECT("'Uke "&amp;B321&amp;"'!V"&amp;9+C321)</f>
        <v>#REF!</v>
      </c>
      <c r="E321" s="20" t="e" cm="1">
        <f t="array" aca="1" ref="E321" ca="1">INDIRECT("'Uke "&amp;B321&amp;"'!AB"&amp;9+C321)</f>
        <v>#REF!</v>
      </c>
    </row>
    <row r="322" spans="1:5" x14ac:dyDescent="0.25">
      <c r="A322">
        <f t="shared" si="14"/>
        <v>2701</v>
      </c>
      <c r="B322">
        <f t="shared" si="9"/>
        <v>20</v>
      </c>
      <c r="C322">
        <f t="shared" si="15"/>
        <v>41</v>
      </c>
      <c r="D322" t="e" cm="1">
        <f t="array" aca="1" ref="D322" ca="1">INDIRECT("'Uke "&amp;B322&amp;"'!V"&amp;9+C322)</f>
        <v>#REF!</v>
      </c>
      <c r="E322" s="20" t="e" cm="1">
        <f t="array" aca="1" ref="E322" ca="1">INDIRECT("'Uke "&amp;B322&amp;"'!AB"&amp;9+C322)</f>
        <v>#REF!</v>
      </c>
    </row>
    <row r="323" spans="1:5" x14ac:dyDescent="0.25">
      <c r="A323">
        <f t="shared" si="14"/>
        <v>2702</v>
      </c>
      <c r="B323">
        <f t="shared" si="9"/>
        <v>20</v>
      </c>
      <c r="C323">
        <f t="shared" si="15"/>
        <v>42</v>
      </c>
      <c r="D323" t="e" cm="1">
        <f t="array" aca="1" ref="D323" ca="1">INDIRECT("'Uke "&amp;B323&amp;"'!V"&amp;9+C323)</f>
        <v>#REF!</v>
      </c>
      <c r="E323" s="20" t="e" cm="1">
        <f t="array" aca="1" ref="E323" ca="1">INDIRECT("'Uke "&amp;B323&amp;"'!AB"&amp;9+C323)</f>
        <v>#REF!</v>
      </c>
    </row>
    <row r="324" spans="1:5" x14ac:dyDescent="0.25">
      <c r="A324">
        <f t="shared" si="14"/>
        <v>2703</v>
      </c>
      <c r="B324">
        <f t="shared" si="9"/>
        <v>20</v>
      </c>
      <c r="C324">
        <f t="shared" si="15"/>
        <v>43</v>
      </c>
      <c r="D324" t="e" cm="1">
        <f t="array" aca="1" ref="D324" ca="1">INDIRECT("'Uke "&amp;B324&amp;"'!V"&amp;9+C324)</f>
        <v>#REF!</v>
      </c>
      <c r="E324" s="20" t="e" cm="1">
        <f t="array" aca="1" ref="E324" ca="1">INDIRECT("'Uke "&amp;B324&amp;"'!AB"&amp;9+C324)</f>
        <v>#REF!</v>
      </c>
    </row>
    <row r="325" spans="1:5" x14ac:dyDescent="0.25">
      <c r="A325">
        <f t="shared" si="14"/>
        <v>2704</v>
      </c>
      <c r="B325">
        <f t="shared" si="9"/>
        <v>20</v>
      </c>
      <c r="C325">
        <f t="shared" si="15"/>
        <v>44</v>
      </c>
      <c r="D325" t="e" cm="1">
        <f t="array" aca="1" ref="D325" ca="1">INDIRECT("'Uke "&amp;B325&amp;"'!V"&amp;9+C325)</f>
        <v>#REF!</v>
      </c>
      <c r="E325" s="20" t="e" cm="1">
        <f t="array" aca="1" ref="E325" ca="1">INDIRECT("'Uke "&amp;B325&amp;"'!AB"&amp;9+C325)</f>
        <v>#REF!</v>
      </c>
    </row>
    <row r="326" spans="1:5" x14ac:dyDescent="0.25">
      <c r="A326">
        <f t="shared" si="14"/>
        <v>2705</v>
      </c>
      <c r="B326">
        <f t="shared" si="9"/>
        <v>20</v>
      </c>
      <c r="C326">
        <f t="shared" si="15"/>
        <v>45</v>
      </c>
      <c r="D326" t="e" cm="1">
        <f t="array" aca="1" ref="D326" ca="1">INDIRECT("'Uke "&amp;B326&amp;"'!V"&amp;9+C326)</f>
        <v>#REF!</v>
      </c>
      <c r="E326" s="20" t="e" cm="1">
        <f t="array" aca="1" ref="E326" ca="1">INDIRECT("'Uke "&amp;B326&amp;"'!AB"&amp;9+C326)</f>
        <v>#REF!</v>
      </c>
    </row>
    <row r="327" spans="1:5" x14ac:dyDescent="0.25">
      <c r="A327">
        <f t="shared" si="14"/>
        <v>2706</v>
      </c>
      <c r="B327">
        <f t="shared" si="9"/>
        <v>20</v>
      </c>
      <c r="C327">
        <f t="shared" si="15"/>
        <v>46</v>
      </c>
      <c r="D327" t="e" cm="1">
        <f t="array" aca="1" ref="D327" ca="1">INDIRECT("'Uke "&amp;B327&amp;"'!V"&amp;9+C327)</f>
        <v>#REF!</v>
      </c>
      <c r="E327" s="20" t="e" cm="1">
        <f t="array" aca="1" ref="E327" ca="1">INDIRECT("'Uke "&amp;B327&amp;"'!AB"&amp;9+C327)</f>
        <v>#REF!</v>
      </c>
    </row>
    <row r="328" spans="1:5" x14ac:dyDescent="0.25">
      <c r="A328">
        <f t="shared" si="14"/>
        <v>2707</v>
      </c>
      <c r="B328">
        <f t="shared" si="9"/>
        <v>20</v>
      </c>
      <c r="C328">
        <f t="shared" si="15"/>
        <v>47</v>
      </c>
      <c r="D328" t="e" cm="1">
        <f t="array" aca="1" ref="D328" ca="1">INDIRECT("'Uke "&amp;B328&amp;"'!V"&amp;9+C328)</f>
        <v>#REF!</v>
      </c>
      <c r="E328" s="20" t="e" cm="1">
        <f t="array" aca="1" ref="E328" ca="1">INDIRECT("'Uke "&amp;B328&amp;"'!AB"&amp;9+C328)</f>
        <v>#REF!</v>
      </c>
    </row>
    <row r="329" spans="1:5" x14ac:dyDescent="0.25">
      <c r="A329">
        <f t="shared" si="14"/>
        <v>2708</v>
      </c>
      <c r="B329">
        <f t="shared" si="9"/>
        <v>20</v>
      </c>
      <c r="C329">
        <f t="shared" si="15"/>
        <v>48</v>
      </c>
      <c r="D329" t="e" cm="1">
        <f t="array" aca="1" ref="D329" ca="1">INDIRECT("'Uke "&amp;B329&amp;"'!V"&amp;9+C329)</f>
        <v>#REF!</v>
      </c>
      <c r="E329" s="20" t="e" cm="1">
        <f t="array" aca="1" ref="E329" ca="1">INDIRECT("'Uke "&amp;B329&amp;"'!AB"&amp;9+C329)</f>
        <v>#REF!</v>
      </c>
    </row>
    <row r="330" spans="1:5" x14ac:dyDescent="0.25">
      <c r="A330">
        <f t="shared" si="14"/>
        <v>2709</v>
      </c>
      <c r="B330">
        <f t="shared" si="9"/>
        <v>20</v>
      </c>
      <c r="C330">
        <f t="shared" si="15"/>
        <v>49</v>
      </c>
      <c r="D330" t="e" cm="1">
        <f t="array" aca="1" ref="D330" ca="1">INDIRECT("'Uke "&amp;B330&amp;"'!V"&amp;9+C330)</f>
        <v>#REF!</v>
      </c>
      <c r="E330" s="20" t="e" cm="1">
        <f t="array" aca="1" ref="E330" ca="1">INDIRECT("'Uke "&amp;B330&amp;"'!AB"&amp;9+C330)</f>
        <v>#REF!</v>
      </c>
    </row>
    <row r="331" spans="1:5" x14ac:dyDescent="0.25">
      <c r="A331">
        <f t="shared" si="14"/>
        <v>2710</v>
      </c>
      <c r="B331">
        <f t="shared" si="9"/>
        <v>20</v>
      </c>
      <c r="C331">
        <f t="shared" si="15"/>
        <v>50</v>
      </c>
      <c r="D331" t="e" cm="1">
        <f t="array" aca="1" ref="D331" ca="1">INDIRECT("'Uke "&amp;B331&amp;"'!V"&amp;9+C331)</f>
        <v>#REF!</v>
      </c>
      <c r="E331" s="20" t="e" cm="1">
        <f t="array" aca="1" ref="E331" ca="1">INDIRECT("'Uke "&amp;B331&amp;"'!AB"&amp;9+C331)</f>
        <v>#REF!</v>
      </c>
    </row>
    <row r="332" spans="1:5" x14ac:dyDescent="0.25">
      <c r="A332">
        <f t="shared" si="14"/>
        <v>2711</v>
      </c>
      <c r="B332">
        <f t="shared" si="9"/>
        <v>20</v>
      </c>
      <c r="C332">
        <f t="shared" si="15"/>
        <v>51</v>
      </c>
      <c r="D332" t="e" cm="1">
        <f t="array" aca="1" ref="D332" ca="1">INDIRECT("'Uke "&amp;B332&amp;"'!V"&amp;9+C332)</f>
        <v>#REF!</v>
      </c>
      <c r="E332" s="20" t="e" cm="1">
        <f t="array" aca="1" ref="E332" ca="1">INDIRECT("'Uke "&amp;B332&amp;"'!AB"&amp;9+C332)</f>
        <v>#REF!</v>
      </c>
    </row>
    <row r="333" spans="1:5" x14ac:dyDescent="0.25">
      <c r="A333">
        <f t="shared" si="14"/>
        <v>2712</v>
      </c>
      <c r="B333">
        <f t="shared" si="9"/>
        <v>20</v>
      </c>
      <c r="C333">
        <f t="shared" si="15"/>
        <v>52</v>
      </c>
      <c r="D333" t="e" cm="1">
        <f t="array" aca="1" ref="D333" ca="1">INDIRECT("'Uke "&amp;B333&amp;"'!V"&amp;9+C333)</f>
        <v>#REF!</v>
      </c>
      <c r="E333" s="20" t="e" cm="1">
        <f t="array" aca="1" ref="E333" ca="1">INDIRECT("'Uke "&amp;B333&amp;"'!AB"&amp;9+C333)</f>
        <v>#REF!</v>
      </c>
    </row>
    <row r="334" spans="1:5" x14ac:dyDescent="0.25">
      <c r="A334">
        <f t="shared" si="14"/>
        <v>2713</v>
      </c>
      <c r="B334">
        <f t="shared" si="9"/>
        <v>20</v>
      </c>
      <c r="C334">
        <f t="shared" si="15"/>
        <v>53</v>
      </c>
      <c r="D334" t="e" cm="1">
        <f t="array" aca="1" ref="D334" ca="1">INDIRECT("'Uke "&amp;B334&amp;"'!V"&amp;9+C334)</f>
        <v>#REF!</v>
      </c>
      <c r="E334" s="20" t="e" cm="1">
        <f t="array" aca="1" ref="E334" ca="1">INDIRECT("'Uke "&amp;B334&amp;"'!AB"&amp;9+C334)</f>
        <v>#REF!</v>
      </c>
    </row>
    <row r="335" spans="1:5" x14ac:dyDescent="0.25">
      <c r="A335">
        <f t="shared" si="14"/>
        <v>2714</v>
      </c>
      <c r="B335">
        <f t="shared" si="9"/>
        <v>20</v>
      </c>
      <c r="C335">
        <f t="shared" si="15"/>
        <v>54</v>
      </c>
      <c r="D335" t="e" cm="1">
        <f t="array" aca="1" ref="D335" ca="1">INDIRECT("'Uke "&amp;B335&amp;"'!V"&amp;9+C335)</f>
        <v>#REF!</v>
      </c>
      <c r="E335" s="20" t="e" cm="1">
        <f t="array" aca="1" ref="E335" ca="1">INDIRECT("'Uke "&amp;B335&amp;"'!AB"&amp;9+C335)</f>
        <v>#REF!</v>
      </c>
    </row>
    <row r="336" spans="1:5" x14ac:dyDescent="0.25">
      <c r="A336">
        <f t="shared" si="14"/>
        <v>2715</v>
      </c>
      <c r="B336">
        <f t="shared" si="9"/>
        <v>20</v>
      </c>
      <c r="C336">
        <f t="shared" si="15"/>
        <v>55</v>
      </c>
      <c r="D336" t="e" cm="1">
        <f t="array" aca="1" ref="D336" ca="1">INDIRECT("'Uke "&amp;B336&amp;"'!V"&amp;9+C336)</f>
        <v>#REF!</v>
      </c>
      <c r="E336" s="20" t="e" cm="1">
        <f t="array" aca="1" ref="E336" ca="1">INDIRECT("'Uke "&amp;B336&amp;"'!AB"&amp;9+C336)</f>
        <v>#REF!</v>
      </c>
    </row>
    <row r="337" spans="1:5" x14ac:dyDescent="0.25">
      <c r="A337">
        <f t="shared" ref="A337:A400" si="16">A336+1</f>
        <v>2716</v>
      </c>
      <c r="B337">
        <f t="shared" si="9"/>
        <v>20</v>
      </c>
      <c r="C337">
        <f t="shared" ref="C337:C400" si="17">MOD(A337-1,140)+1</f>
        <v>56</v>
      </c>
      <c r="D337" t="e" cm="1">
        <f t="array" aca="1" ref="D337" ca="1">INDIRECT("'Uke "&amp;B337&amp;"'!V"&amp;9+C337)</f>
        <v>#REF!</v>
      </c>
      <c r="E337" s="20" t="e" cm="1">
        <f t="array" aca="1" ref="E337" ca="1">INDIRECT("'Uke "&amp;B337&amp;"'!AB"&amp;9+C337)</f>
        <v>#REF!</v>
      </c>
    </row>
    <row r="338" spans="1:5" x14ac:dyDescent="0.25">
      <c r="A338">
        <f t="shared" si="16"/>
        <v>2717</v>
      </c>
      <c r="B338">
        <f t="shared" si="9"/>
        <v>20</v>
      </c>
      <c r="C338">
        <f t="shared" si="17"/>
        <v>57</v>
      </c>
      <c r="D338" t="e" cm="1">
        <f t="array" aca="1" ref="D338" ca="1">INDIRECT("'Uke "&amp;B338&amp;"'!V"&amp;9+C338)</f>
        <v>#REF!</v>
      </c>
      <c r="E338" s="20" t="e" cm="1">
        <f t="array" aca="1" ref="E338" ca="1">INDIRECT("'Uke "&amp;B338&amp;"'!AB"&amp;9+C338)</f>
        <v>#REF!</v>
      </c>
    </row>
    <row r="339" spans="1:5" x14ac:dyDescent="0.25">
      <c r="A339">
        <f t="shared" si="16"/>
        <v>2718</v>
      </c>
      <c r="B339">
        <f t="shared" si="9"/>
        <v>20</v>
      </c>
      <c r="C339">
        <f t="shared" si="17"/>
        <v>58</v>
      </c>
      <c r="D339" t="e" cm="1">
        <f t="array" aca="1" ref="D339" ca="1">INDIRECT("'Uke "&amp;B339&amp;"'!V"&amp;9+C339)</f>
        <v>#REF!</v>
      </c>
      <c r="E339" s="20" t="e" cm="1">
        <f t="array" aca="1" ref="E339" ca="1">INDIRECT("'Uke "&amp;B339&amp;"'!AB"&amp;9+C339)</f>
        <v>#REF!</v>
      </c>
    </row>
    <row r="340" spans="1:5" x14ac:dyDescent="0.25">
      <c r="A340">
        <f t="shared" si="16"/>
        <v>2719</v>
      </c>
      <c r="B340">
        <f t="shared" si="9"/>
        <v>20</v>
      </c>
      <c r="C340">
        <f t="shared" si="17"/>
        <v>59</v>
      </c>
      <c r="D340" t="e" cm="1">
        <f t="array" aca="1" ref="D340" ca="1">INDIRECT("'Uke "&amp;B340&amp;"'!V"&amp;9+C340)</f>
        <v>#REF!</v>
      </c>
      <c r="E340" s="20" t="e" cm="1">
        <f t="array" aca="1" ref="E340" ca="1">INDIRECT("'Uke "&amp;B340&amp;"'!AB"&amp;9+C340)</f>
        <v>#REF!</v>
      </c>
    </row>
    <row r="341" spans="1:5" x14ac:dyDescent="0.25">
      <c r="A341">
        <f t="shared" si="16"/>
        <v>2720</v>
      </c>
      <c r="B341">
        <f t="shared" si="9"/>
        <v>20</v>
      </c>
      <c r="C341">
        <f t="shared" si="17"/>
        <v>60</v>
      </c>
      <c r="D341" t="e" cm="1">
        <f t="array" aca="1" ref="D341" ca="1">INDIRECT("'Uke "&amp;B341&amp;"'!V"&amp;9+C341)</f>
        <v>#REF!</v>
      </c>
      <c r="E341" s="20" t="e" cm="1">
        <f t="array" aca="1" ref="E341" ca="1">INDIRECT("'Uke "&amp;B341&amp;"'!AB"&amp;9+C341)</f>
        <v>#REF!</v>
      </c>
    </row>
    <row r="342" spans="1:5" x14ac:dyDescent="0.25">
      <c r="A342">
        <f t="shared" si="16"/>
        <v>2721</v>
      </c>
      <c r="B342">
        <f t="shared" si="9"/>
        <v>20</v>
      </c>
      <c r="C342">
        <f t="shared" si="17"/>
        <v>61</v>
      </c>
      <c r="D342" t="e" cm="1">
        <f t="array" aca="1" ref="D342" ca="1">INDIRECT("'Uke "&amp;B342&amp;"'!V"&amp;9+C342)</f>
        <v>#REF!</v>
      </c>
      <c r="E342" s="20" t="e" cm="1">
        <f t="array" aca="1" ref="E342" ca="1">INDIRECT("'Uke "&amp;B342&amp;"'!AB"&amp;9+C342)</f>
        <v>#REF!</v>
      </c>
    </row>
    <row r="343" spans="1:5" x14ac:dyDescent="0.25">
      <c r="A343">
        <f t="shared" si="16"/>
        <v>2722</v>
      </c>
      <c r="B343">
        <f t="shared" si="9"/>
        <v>20</v>
      </c>
      <c r="C343">
        <f t="shared" si="17"/>
        <v>62</v>
      </c>
      <c r="D343" t="e" cm="1">
        <f t="array" aca="1" ref="D343" ca="1">INDIRECT("'Uke "&amp;B343&amp;"'!V"&amp;9+C343)</f>
        <v>#REF!</v>
      </c>
      <c r="E343" s="20" t="e" cm="1">
        <f t="array" aca="1" ref="E343" ca="1">INDIRECT("'Uke "&amp;B343&amp;"'!AB"&amp;9+C343)</f>
        <v>#REF!</v>
      </c>
    </row>
    <row r="344" spans="1:5" x14ac:dyDescent="0.25">
      <c r="A344">
        <f t="shared" si="16"/>
        <v>2723</v>
      </c>
      <c r="B344">
        <f t="shared" si="9"/>
        <v>20</v>
      </c>
      <c r="C344">
        <f t="shared" si="17"/>
        <v>63</v>
      </c>
      <c r="D344" t="e" cm="1">
        <f t="array" aca="1" ref="D344" ca="1">INDIRECT("'Uke "&amp;B344&amp;"'!V"&amp;9+C344)</f>
        <v>#REF!</v>
      </c>
      <c r="E344" s="20" t="e" cm="1">
        <f t="array" aca="1" ref="E344" ca="1">INDIRECT("'Uke "&amp;B344&amp;"'!AB"&amp;9+C344)</f>
        <v>#REF!</v>
      </c>
    </row>
    <row r="345" spans="1:5" x14ac:dyDescent="0.25">
      <c r="A345">
        <f t="shared" si="16"/>
        <v>2724</v>
      </c>
      <c r="B345">
        <f t="shared" si="9"/>
        <v>20</v>
      </c>
      <c r="C345">
        <f t="shared" si="17"/>
        <v>64</v>
      </c>
      <c r="D345" t="e" cm="1">
        <f t="array" aca="1" ref="D345" ca="1">INDIRECT("'Uke "&amp;B345&amp;"'!V"&amp;9+C345)</f>
        <v>#REF!</v>
      </c>
      <c r="E345" s="20" t="e" cm="1">
        <f t="array" aca="1" ref="E345" ca="1">INDIRECT("'Uke "&amp;B345&amp;"'!AB"&amp;9+C345)</f>
        <v>#REF!</v>
      </c>
    </row>
    <row r="346" spans="1:5" x14ac:dyDescent="0.25">
      <c r="A346">
        <f t="shared" si="16"/>
        <v>2725</v>
      </c>
      <c r="B346">
        <f t="shared" si="9"/>
        <v>20</v>
      </c>
      <c r="C346">
        <f t="shared" si="17"/>
        <v>65</v>
      </c>
      <c r="D346" t="e" cm="1">
        <f t="array" aca="1" ref="D346" ca="1">INDIRECT("'Uke "&amp;B346&amp;"'!V"&amp;9+C346)</f>
        <v>#REF!</v>
      </c>
      <c r="E346" s="20" t="e" cm="1">
        <f t="array" aca="1" ref="E346" ca="1">INDIRECT("'Uke "&amp;B346&amp;"'!AB"&amp;9+C346)</f>
        <v>#REF!</v>
      </c>
    </row>
    <row r="347" spans="1:5" x14ac:dyDescent="0.25">
      <c r="A347">
        <f t="shared" si="16"/>
        <v>2726</v>
      </c>
      <c r="B347">
        <f t="shared" si="9"/>
        <v>20</v>
      </c>
      <c r="C347">
        <f t="shared" si="17"/>
        <v>66</v>
      </c>
      <c r="D347" t="e" cm="1">
        <f t="array" aca="1" ref="D347" ca="1">INDIRECT("'Uke "&amp;B347&amp;"'!V"&amp;9+C347)</f>
        <v>#REF!</v>
      </c>
      <c r="E347" s="20" t="e" cm="1">
        <f t="array" aca="1" ref="E347" ca="1">INDIRECT("'Uke "&amp;B347&amp;"'!AB"&amp;9+C347)</f>
        <v>#REF!</v>
      </c>
    </row>
    <row r="348" spans="1:5" x14ac:dyDescent="0.25">
      <c r="A348">
        <f t="shared" si="16"/>
        <v>2727</v>
      </c>
      <c r="B348">
        <f t="shared" si="9"/>
        <v>20</v>
      </c>
      <c r="C348">
        <f t="shared" si="17"/>
        <v>67</v>
      </c>
      <c r="D348" t="e" cm="1">
        <f t="array" aca="1" ref="D348" ca="1">INDIRECT("'Uke "&amp;B348&amp;"'!V"&amp;9+C348)</f>
        <v>#REF!</v>
      </c>
      <c r="E348" s="20" t="e" cm="1">
        <f t="array" aca="1" ref="E348" ca="1">INDIRECT("'Uke "&amp;B348&amp;"'!AB"&amp;9+C348)</f>
        <v>#REF!</v>
      </c>
    </row>
    <row r="349" spans="1:5" x14ac:dyDescent="0.25">
      <c r="A349">
        <f t="shared" si="16"/>
        <v>2728</v>
      </c>
      <c r="B349">
        <f t="shared" si="9"/>
        <v>20</v>
      </c>
      <c r="C349">
        <f t="shared" si="17"/>
        <v>68</v>
      </c>
      <c r="D349" t="e" cm="1">
        <f t="array" aca="1" ref="D349" ca="1">INDIRECT("'Uke "&amp;B349&amp;"'!V"&amp;9+C349)</f>
        <v>#REF!</v>
      </c>
      <c r="E349" s="20" t="e" cm="1">
        <f t="array" aca="1" ref="E349" ca="1">INDIRECT("'Uke "&amp;B349&amp;"'!AB"&amp;9+C349)</f>
        <v>#REF!</v>
      </c>
    </row>
    <row r="350" spans="1:5" x14ac:dyDescent="0.25">
      <c r="A350">
        <f t="shared" si="16"/>
        <v>2729</v>
      </c>
      <c r="B350">
        <f t="shared" si="9"/>
        <v>20</v>
      </c>
      <c r="C350">
        <f t="shared" si="17"/>
        <v>69</v>
      </c>
      <c r="D350" t="e" cm="1">
        <f t="array" aca="1" ref="D350" ca="1">INDIRECT("'Uke "&amp;B350&amp;"'!V"&amp;9+C350)</f>
        <v>#REF!</v>
      </c>
      <c r="E350" s="20" t="e" cm="1">
        <f t="array" aca="1" ref="E350" ca="1">INDIRECT("'Uke "&amp;B350&amp;"'!AB"&amp;9+C350)</f>
        <v>#REF!</v>
      </c>
    </row>
    <row r="351" spans="1:5" x14ac:dyDescent="0.25">
      <c r="A351">
        <f t="shared" si="16"/>
        <v>2730</v>
      </c>
      <c r="B351">
        <f t="shared" si="9"/>
        <v>20</v>
      </c>
      <c r="C351">
        <f t="shared" si="17"/>
        <v>70</v>
      </c>
      <c r="D351" t="e" cm="1">
        <f t="array" aca="1" ref="D351" ca="1">INDIRECT("'Uke "&amp;B351&amp;"'!V"&amp;9+C351)</f>
        <v>#REF!</v>
      </c>
      <c r="E351" s="20" t="e" cm="1">
        <f t="array" aca="1" ref="E351" ca="1">INDIRECT("'Uke "&amp;B351&amp;"'!AB"&amp;9+C351)</f>
        <v>#REF!</v>
      </c>
    </row>
    <row r="352" spans="1:5" x14ac:dyDescent="0.25">
      <c r="A352">
        <f t="shared" si="16"/>
        <v>2731</v>
      </c>
      <c r="B352">
        <f t="shared" si="9"/>
        <v>20</v>
      </c>
      <c r="C352">
        <f t="shared" si="17"/>
        <v>71</v>
      </c>
      <c r="D352" t="e" cm="1">
        <f t="array" aca="1" ref="D352" ca="1">INDIRECT("'Uke "&amp;B352&amp;"'!V"&amp;9+C352)</f>
        <v>#REF!</v>
      </c>
      <c r="E352" s="20" t="e" cm="1">
        <f t="array" aca="1" ref="E352" ca="1">INDIRECT("'Uke "&amp;B352&amp;"'!AB"&amp;9+C352)</f>
        <v>#REF!</v>
      </c>
    </row>
    <row r="353" spans="1:5" x14ac:dyDescent="0.25">
      <c r="A353">
        <f t="shared" si="16"/>
        <v>2732</v>
      </c>
      <c r="B353">
        <f t="shared" si="9"/>
        <v>20</v>
      </c>
      <c r="C353">
        <f t="shared" si="17"/>
        <v>72</v>
      </c>
      <c r="D353" t="e" cm="1">
        <f t="array" aca="1" ref="D353" ca="1">INDIRECT("'Uke "&amp;B353&amp;"'!V"&amp;9+C353)</f>
        <v>#REF!</v>
      </c>
      <c r="E353" s="20" t="e" cm="1">
        <f t="array" aca="1" ref="E353" ca="1">INDIRECT("'Uke "&amp;B353&amp;"'!AB"&amp;9+C353)</f>
        <v>#REF!</v>
      </c>
    </row>
    <row r="354" spans="1:5" x14ac:dyDescent="0.25">
      <c r="A354">
        <f t="shared" si="16"/>
        <v>2733</v>
      </c>
      <c r="B354">
        <f t="shared" si="9"/>
        <v>20</v>
      </c>
      <c r="C354">
        <f t="shared" si="17"/>
        <v>73</v>
      </c>
      <c r="D354" t="e" cm="1">
        <f t="array" aca="1" ref="D354" ca="1">INDIRECT("'Uke "&amp;B354&amp;"'!V"&amp;9+C354)</f>
        <v>#REF!</v>
      </c>
      <c r="E354" s="20" t="e" cm="1">
        <f t="array" aca="1" ref="E354" ca="1">INDIRECT("'Uke "&amp;B354&amp;"'!AB"&amp;9+C354)</f>
        <v>#REF!</v>
      </c>
    </row>
    <row r="355" spans="1:5" x14ac:dyDescent="0.25">
      <c r="A355">
        <f t="shared" si="16"/>
        <v>2734</v>
      </c>
      <c r="B355">
        <f t="shared" si="9"/>
        <v>20</v>
      </c>
      <c r="C355">
        <f t="shared" si="17"/>
        <v>74</v>
      </c>
      <c r="D355" t="e" cm="1">
        <f t="array" aca="1" ref="D355" ca="1">INDIRECT("'Uke "&amp;B355&amp;"'!V"&amp;9+C355)</f>
        <v>#REF!</v>
      </c>
      <c r="E355" s="20" t="e" cm="1">
        <f t="array" aca="1" ref="E355" ca="1">INDIRECT("'Uke "&amp;B355&amp;"'!AB"&amp;9+C355)</f>
        <v>#REF!</v>
      </c>
    </row>
    <row r="356" spans="1:5" x14ac:dyDescent="0.25">
      <c r="A356">
        <f t="shared" si="16"/>
        <v>2735</v>
      </c>
      <c r="B356">
        <f t="shared" si="9"/>
        <v>20</v>
      </c>
      <c r="C356">
        <f t="shared" si="17"/>
        <v>75</v>
      </c>
      <c r="D356" t="e" cm="1">
        <f t="array" aca="1" ref="D356" ca="1">INDIRECT("'Uke "&amp;B356&amp;"'!V"&amp;9+C356)</f>
        <v>#REF!</v>
      </c>
      <c r="E356" s="20" t="e" cm="1">
        <f t="array" aca="1" ref="E356" ca="1">INDIRECT("'Uke "&amp;B356&amp;"'!AB"&amp;9+C356)</f>
        <v>#REF!</v>
      </c>
    </row>
    <row r="357" spans="1:5" x14ac:dyDescent="0.25">
      <c r="A357">
        <f t="shared" si="16"/>
        <v>2736</v>
      </c>
      <c r="B357">
        <f t="shared" si="9"/>
        <v>20</v>
      </c>
      <c r="C357">
        <f t="shared" si="17"/>
        <v>76</v>
      </c>
      <c r="D357" t="e" cm="1">
        <f t="array" aca="1" ref="D357" ca="1">INDIRECT("'Uke "&amp;B357&amp;"'!V"&amp;9+C357)</f>
        <v>#REF!</v>
      </c>
      <c r="E357" s="20" t="e" cm="1">
        <f t="array" aca="1" ref="E357" ca="1">INDIRECT("'Uke "&amp;B357&amp;"'!AB"&amp;9+C357)</f>
        <v>#REF!</v>
      </c>
    </row>
    <row r="358" spans="1:5" x14ac:dyDescent="0.25">
      <c r="A358">
        <f t="shared" si="16"/>
        <v>2737</v>
      </c>
      <c r="B358">
        <f t="shared" si="9"/>
        <v>20</v>
      </c>
      <c r="C358">
        <f t="shared" si="17"/>
        <v>77</v>
      </c>
      <c r="D358" t="e" cm="1">
        <f t="array" aca="1" ref="D358" ca="1">INDIRECT("'Uke "&amp;B358&amp;"'!V"&amp;9+C358)</f>
        <v>#REF!</v>
      </c>
      <c r="E358" s="20" t="e" cm="1">
        <f t="array" aca="1" ref="E358" ca="1">INDIRECT("'Uke "&amp;B358&amp;"'!AB"&amp;9+C358)</f>
        <v>#REF!</v>
      </c>
    </row>
    <row r="359" spans="1:5" x14ac:dyDescent="0.25">
      <c r="A359">
        <f t="shared" si="16"/>
        <v>2738</v>
      </c>
      <c r="B359">
        <f t="shared" si="9"/>
        <v>20</v>
      </c>
      <c r="C359">
        <f t="shared" si="17"/>
        <v>78</v>
      </c>
      <c r="D359" t="e" cm="1">
        <f t="array" aca="1" ref="D359" ca="1">INDIRECT("'Uke "&amp;B359&amp;"'!V"&amp;9+C359)</f>
        <v>#REF!</v>
      </c>
      <c r="E359" s="20" t="e" cm="1">
        <f t="array" aca="1" ref="E359" ca="1">INDIRECT("'Uke "&amp;B359&amp;"'!AB"&amp;9+C359)</f>
        <v>#REF!</v>
      </c>
    </row>
    <row r="360" spans="1:5" x14ac:dyDescent="0.25">
      <c r="A360">
        <f t="shared" si="16"/>
        <v>2739</v>
      </c>
      <c r="B360">
        <f t="shared" si="9"/>
        <v>20</v>
      </c>
      <c r="C360">
        <f t="shared" si="17"/>
        <v>79</v>
      </c>
      <c r="D360" t="e" cm="1">
        <f t="array" aca="1" ref="D360" ca="1">INDIRECT("'Uke "&amp;B360&amp;"'!V"&amp;9+C360)</f>
        <v>#REF!</v>
      </c>
      <c r="E360" s="20" t="e" cm="1">
        <f t="array" aca="1" ref="E360" ca="1">INDIRECT("'Uke "&amp;B360&amp;"'!AB"&amp;9+C360)</f>
        <v>#REF!</v>
      </c>
    </row>
    <row r="361" spans="1:5" x14ac:dyDescent="0.25">
      <c r="A361">
        <f t="shared" si="16"/>
        <v>2740</v>
      </c>
      <c r="B361">
        <f t="shared" si="9"/>
        <v>20</v>
      </c>
      <c r="C361">
        <f t="shared" si="17"/>
        <v>80</v>
      </c>
      <c r="D361" t="e" cm="1">
        <f t="array" aca="1" ref="D361" ca="1">INDIRECT("'Uke "&amp;B361&amp;"'!V"&amp;9+C361)</f>
        <v>#REF!</v>
      </c>
      <c r="E361" s="20" t="e" cm="1">
        <f t="array" aca="1" ref="E361" ca="1">INDIRECT("'Uke "&amp;B361&amp;"'!AB"&amp;9+C361)</f>
        <v>#REF!</v>
      </c>
    </row>
    <row r="362" spans="1:5" x14ac:dyDescent="0.25">
      <c r="A362">
        <f t="shared" si="16"/>
        <v>2741</v>
      </c>
      <c r="B362">
        <f t="shared" si="9"/>
        <v>20</v>
      </c>
      <c r="C362">
        <f t="shared" si="17"/>
        <v>81</v>
      </c>
      <c r="D362" t="e" cm="1">
        <f t="array" aca="1" ref="D362" ca="1">INDIRECT("'Uke "&amp;B362&amp;"'!V"&amp;9+C362)</f>
        <v>#REF!</v>
      </c>
      <c r="E362" s="20" t="e" cm="1">
        <f t="array" aca="1" ref="E362" ca="1">INDIRECT("'Uke "&amp;B362&amp;"'!AB"&amp;9+C362)</f>
        <v>#REF!</v>
      </c>
    </row>
    <row r="363" spans="1:5" x14ac:dyDescent="0.25">
      <c r="A363">
        <f t="shared" si="16"/>
        <v>2742</v>
      </c>
      <c r="B363">
        <f t="shared" si="9"/>
        <v>20</v>
      </c>
      <c r="C363">
        <f t="shared" si="17"/>
        <v>82</v>
      </c>
      <c r="D363" t="e" cm="1">
        <f t="array" aca="1" ref="D363" ca="1">INDIRECT("'Uke "&amp;B363&amp;"'!V"&amp;9+C363)</f>
        <v>#REF!</v>
      </c>
      <c r="E363" s="20" t="e" cm="1">
        <f t="array" aca="1" ref="E363" ca="1">INDIRECT("'Uke "&amp;B363&amp;"'!AB"&amp;9+C363)</f>
        <v>#REF!</v>
      </c>
    </row>
    <row r="364" spans="1:5" x14ac:dyDescent="0.25">
      <c r="A364">
        <f t="shared" si="16"/>
        <v>2743</v>
      </c>
      <c r="B364">
        <f t="shared" si="9"/>
        <v>20</v>
      </c>
      <c r="C364">
        <f t="shared" si="17"/>
        <v>83</v>
      </c>
      <c r="D364" t="e" cm="1">
        <f t="array" aca="1" ref="D364" ca="1">INDIRECT("'Uke "&amp;B364&amp;"'!V"&amp;9+C364)</f>
        <v>#REF!</v>
      </c>
      <c r="E364" s="20" t="e" cm="1">
        <f t="array" aca="1" ref="E364" ca="1">INDIRECT("'Uke "&amp;B364&amp;"'!AB"&amp;9+C364)</f>
        <v>#REF!</v>
      </c>
    </row>
    <row r="365" spans="1:5" x14ac:dyDescent="0.25">
      <c r="A365">
        <f t="shared" si="16"/>
        <v>2744</v>
      </c>
      <c r="B365">
        <f t="shared" si="9"/>
        <v>20</v>
      </c>
      <c r="C365">
        <f t="shared" si="17"/>
        <v>84</v>
      </c>
      <c r="D365" t="e" cm="1">
        <f t="array" aca="1" ref="D365" ca="1">INDIRECT("'Uke "&amp;B365&amp;"'!V"&amp;9+C365)</f>
        <v>#REF!</v>
      </c>
      <c r="E365" s="20" t="e" cm="1">
        <f t="array" aca="1" ref="E365" ca="1">INDIRECT("'Uke "&amp;B365&amp;"'!AB"&amp;9+C365)</f>
        <v>#REF!</v>
      </c>
    </row>
    <row r="366" spans="1:5" x14ac:dyDescent="0.25">
      <c r="A366">
        <f t="shared" si="16"/>
        <v>2745</v>
      </c>
      <c r="B366">
        <f t="shared" si="9"/>
        <v>20</v>
      </c>
      <c r="C366">
        <f t="shared" si="17"/>
        <v>85</v>
      </c>
      <c r="D366" t="e" cm="1">
        <f t="array" aca="1" ref="D366" ca="1">INDIRECT("'Uke "&amp;B366&amp;"'!V"&amp;9+C366)</f>
        <v>#REF!</v>
      </c>
      <c r="E366" s="20" t="e" cm="1">
        <f t="array" aca="1" ref="E366" ca="1">INDIRECT("'Uke "&amp;B366&amp;"'!AB"&amp;9+C366)</f>
        <v>#REF!</v>
      </c>
    </row>
    <row r="367" spans="1:5" x14ac:dyDescent="0.25">
      <c r="A367">
        <f t="shared" si="16"/>
        <v>2746</v>
      </c>
      <c r="B367">
        <f t="shared" si="9"/>
        <v>20</v>
      </c>
      <c r="C367">
        <f t="shared" si="17"/>
        <v>86</v>
      </c>
      <c r="D367" t="e" cm="1">
        <f t="array" aca="1" ref="D367" ca="1">INDIRECT("'Uke "&amp;B367&amp;"'!V"&amp;9+C367)</f>
        <v>#REF!</v>
      </c>
      <c r="E367" s="20" t="e" cm="1">
        <f t="array" aca="1" ref="E367" ca="1">INDIRECT("'Uke "&amp;B367&amp;"'!AB"&amp;9+C367)</f>
        <v>#REF!</v>
      </c>
    </row>
    <row r="368" spans="1:5" x14ac:dyDescent="0.25">
      <c r="A368">
        <f t="shared" si="16"/>
        <v>2747</v>
      </c>
      <c r="B368">
        <f t="shared" si="9"/>
        <v>20</v>
      </c>
      <c r="C368">
        <f t="shared" si="17"/>
        <v>87</v>
      </c>
      <c r="D368" t="e" cm="1">
        <f t="array" aca="1" ref="D368" ca="1">INDIRECT("'Uke "&amp;B368&amp;"'!V"&amp;9+C368)</f>
        <v>#REF!</v>
      </c>
      <c r="E368" s="20" t="e" cm="1">
        <f t="array" aca="1" ref="E368" ca="1">INDIRECT("'Uke "&amp;B368&amp;"'!AB"&amp;9+C368)</f>
        <v>#REF!</v>
      </c>
    </row>
    <row r="369" spans="1:5" x14ac:dyDescent="0.25">
      <c r="A369">
        <f t="shared" si="16"/>
        <v>2748</v>
      </c>
      <c r="B369">
        <f t="shared" si="9"/>
        <v>20</v>
      </c>
      <c r="C369">
        <f t="shared" si="17"/>
        <v>88</v>
      </c>
      <c r="D369" t="e" cm="1">
        <f t="array" aca="1" ref="D369" ca="1">INDIRECT("'Uke "&amp;B369&amp;"'!V"&amp;9+C369)</f>
        <v>#REF!</v>
      </c>
      <c r="E369" s="20" t="e" cm="1">
        <f t="array" aca="1" ref="E369" ca="1">INDIRECT("'Uke "&amp;B369&amp;"'!AB"&amp;9+C369)</f>
        <v>#REF!</v>
      </c>
    </row>
    <row r="370" spans="1:5" x14ac:dyDescent="0.25">
      <c r="A370">
        <f t="shared" si="16"/>
        <v>2749</v>
      </c>
      <c r="B370">
        <f t="shared" si="9"/>
        <v>20</v>
      </c>
      <c r="C370">
        <f t="shared" si="17"/>
        <v>89</v>
      </c>
      <c r="D370" t="e" cm="1">
        <f t="array" aca="1" ref="D370" ca="1">INDIRECT("'Uke "&amp;B370&amp;"'!V"&amp;9+C370)</f>
        <v>#REF!</v>
      </c>
      <c r="E370" s="20" t="e" cm="1">
        <f t="array" aca="1" ref="E370" ca="1">INDIRECT("'Uke "&amp;B370&amp;"'!AB"&amp;9+C370)</f>
        <v>#REF!</v>
      </c>
    </row>
    <row r="371" spans="1:5" x14ac:dyDescent="0.25">
      <c r="A371">
        <f t="shared" si="16"/>
        <v>2750</v>
      </c>
      <c r="B371">
        <f t="shared" si="9"/>
        <v>20</v>
      </c>
      <c r="C371">
        <f t="shared" si="17"/>
        <v>90</v>
      </c>
      <c r="D371" t="e" cm="1">
        <f t="array" aca="1" ref="D371" ca="1">INDIRECT("'Uke "&amp;B371&amp;"'!V"&amp;9+C371)</f>
        <v>#REF!</v>
      </c>
      <c r="E371" s="20" t="e" cm="1">
        <f t="array" aca="1" ref="E371" ca="1">INDIRECT("'Uke "&amp;B371&amp;"'!AB"&amp;9+C371)</f>
        <v>#REF!</v>
      </c>
    </row>
    <row r="372" spans="1:5" x14ac:dyDescent="0.25">
      <c r="A372">
        <f t="shared" si="16"/>
        <v>2751</v>
      </c>
      <c r="B372">
        <f t="shared" si="9"/>
        <v>20</v>
      </c>
      <c r="C372">
        <f t="shared" si="17"/>
        <v>91</v>
      </c>
      <c r="D372" t="e" cm="1">
        <f t="array" aca="1" ref="D372" ca="1">INDIRECT("'Uke "&amp;B372&amp;"'!V"&amp;9+C372)</f>
        <v>#REF!</v>
      </c>
      <c r="E372" s="20" t="e" cm="1">
        <f t="array" aca="1" ref="E372" ca="1">INDIRECT("'Uke "&amp;B372&amp;"'!AB"&amp;9+C372)</f>
        <v>#REF!</v>
      </c>
    </row>
    <row r="373" spans="1:5" x14ac:dyDescent="0.25">
      <c r="A373">
        <f t="shared" si="16"/>
        <v>2752</v>
      </c>
      <c r="B373">
        <f t="shared" si="9"/>
        <v>20</v>
      </c>
      <c r="C373">
        <f t="shared" si="17"/>
        <v>92</v>
      </c>
      <c r="D373" t="e" cm="1">
        <f t="array" aca="1" ref="D373" ca="1">INDIRECT("'Uke "&amp;B373&amp;"'!V"&amp;9+C373)</f>
        <v>#REF!</v>
      </c>
      <c r="E373" s="20" t="e" cm="1">
        <f t="array" aca="1" ref="E373" ca="1">INDIRECT("'Uke "&amp;B373&amp;"'!AB"&amp;9+C373)</f>
        <v>#REF!</v>
      </c>
    </row>
    <row r="374" spans="1:5" x14ac:dyDescent="0.25">
      <c r="A374">
        <f t="shared" si="16"/>
        <v>2753</v>
      </c>
      <c r="B374">
        <f t="shared" si="9"/>
        <v>20</v>
      </c>
      <c r="C374">
        <f t="shared" si="17"/>
        <v>93</v>
      </c>
      <c r="D374" t="e" cm="1">
        <f t="array" aca="1" ref="D374" ca="1">INDIRECT("'Uke "&amp;B374&amp;"'!V"&amp;9+C374)</f>
        <v>#REF!</v>
      </c>
      <c r="E374" s="20" t="e" cm="1">
        <f t="array" aca="1" ref="E374" ca="1">INDIRECT("'Uke "&amp;B374&amp;"'!AB"&amp;9+C374)</f>
        <v>#REF!</v>
      </c>
    </row>
    <row r="375" spans="1:5" x14ac:dyDescent="0.25">
      <c r="A375">
        <f t="shared" si="16"/>
        <v>2754</v>
      </c>
      <c r="B375">
        <f t="shared" si="9"/>
        <v>20</v>
      </c>
      <c r="C375">
        <f t="shared" si="17"/>
        <v>94</v>
      </c>
      <c r="D375" t="e" cm="1">
        <f t="array" aca="1" ref="D375" ca="1">INDIRECT("'Uke "&amp;B375&amp;"'!V"&amp;9+C375)</f>
        <v>#REF!</v>
      </c>
      <c r="E375" s="20" t="e" cm="1">
        <f t="array" aca="1" ref="E375" ca="1">INDIRECT("'Uke "&amp;B375&amp;"'!AB"&amp;9+C375)</f>
        <v>#REF!</v>
      </c>
    </row>
    <row r="376" spans="1:5" x14ac:dyDescent="0.25">
      <c r="A376">
        <f t="shared" si="16"/>
        <v>2755</v>
      </c>
      <c r="B376">
        <f t="shared" si="9"/>
        <v>20</v>
      </c>
      <c r="C376">
        <f t="shared" si="17"/>
        <v>95</v>
      </c>
      <c r="D376" t="e" cm="1">
        <f t="array" aca="1" ref="D376" ca="1">INDIRECT("'Uke "&amp;B376&amp;"'!V"&amp;9+C376)</f>
        <v>#REF!</v>
      </c>
      <c r="E376" s="20" t="e" cm="1">
        <f t="array" aca="1" ref="E376" ca="1">INDIRECT("'Uke "&amp;B376&amp;"'!AB"&amp;9+C376)</f>
        <v>#REF!</v>
      </c>
    </row>
    <row r="377" spans="1:5" x14ac:dyDescent="0.25">
      <c r="A377">
        <f t="shared" si="16"/>
        <v>2756</v>
      </c>
      <c r="B377">
        <f t="shared" si="9"/>
        <v>20</v>
      </c>
      <c r="C377">
        <f t="shared" si="17"/>
        <v>96</v>
      </c>
      <c r="D377" t="e" cm="1">
        <f t="array" aca="1" ref="D377" ca="1">INDIRECT("'Uke "&amp;B377&amp;"'!V"&amp;9+C377)</f>
        <v>#REF!</v>
      </c>
      <c r="E377" s="20" t="e" cm="1">
        <f t="array" aca="1" ref="E377" ca="1">INDIRECT("'Uke "&amp;B377&amp;"'!AB"&amp;9+C377)</f>
        <v>#REF!</v>
      </c>
    </row>
    <row r="378" spans="1:5" x14ac:dyDescent="0.25">
      <c r="A378">
        <f t="shared" si="16"/>
        <v>2757</v>
      </c>
      <c r="B378">
        <f t="shared" si="9"/>
        <v>20</v>
      </c>
      <c r="C378">
        <f t="shared" si="17"/>
        <v>97</v>
      </c>
      <c r="D378" t="e" cm="1">
        <f t="array" aca="1" ref="D378" ca="1">INDIRECT("'Uke "&amp;B378&amp;"'!V"&amp;9+C378)</f>
        <v>#REF!</v>
      </c>
      <c r="E378" s="20" t="e" cm="1">
        <f t="array" aca="1" ref="E378" ca="1">INDIRECT("'Uke "&amp;B378&amp;"'!AB"&amp;9+C378)</f>
        <v>#REF!</v>
      </c>
    </row>
    <row r="379" spans="1:5" x14ac:dyDescent="0.25">
      <c r="A379">
        <f t="shared" si="16"/>
        <v>2758</v>
      </c>
      <c r="B379">
        <f t="shared" si="9"/>
        <v>20</v>
      </c>
      <c r="C379">
        <f t="shared" si="17"/>
        <v>98</v>
      </c>
      <c r="D379" t="e" cm="1">
        <f t="array" aca="1" ref="D379" ca="1">INDIRECT("'Uke "&amp;B379&amp;"'!V"&amp;9+C379)</f>
        <v>#REF!</v>
      </c>
      <c r="E379" s="20" t="e" cm="1">
        <f t="array" aca="1" ref="E379" ca="1">INDIRECT("'Uke "&amp;B379&amp;"'!AB"&amp;9+C379)</f>
        <v>#REF!</v>
      </c>
    </row>
    <row r="380" spans="1:5" x14ac:dyDescent="0.25">
      <c r="A380">
        <f t="shared" si="16"/>
        <v>2759</v>
      </c>
      <c r="B380">
        <f t="shared" si="9"/>
        <v>20</v>
      </c>
      <c r="C380">
        <f t="shared" si="17"/>
        <v>99</v>
      </c>
      <c r="D380" t="e" cm="1">
        <f t="array" aca="1" ref="D380" ca="1">INDIRECT("'Uke "&amp;B380&amp;"'!V"&amp;9+C380)</f>
        <v>#REF!</v>
      </c>
      <c r="E380" s="20" t="e" cm="1">
        <f t="array" aca="1" ref="E380" ca="1">INDIRECT("'Uke "&amp;B380&amp;"'!AB"&amp;9+C380)</f>
        <v>#REF!</v>
      </c>
    </row>
    <row r="381" spans="1:5" x14ac:dyDescent="0.25">
      <c r="A381">
        <f t="shared" si="16"/>
        <v>2760</v>
      </c>
      <c r="B381">
        <f t="shared" si="9"/>
        <v>20</v>
      </c>
      <c r="C381">
        <f t="shared" si="17"/>
        <v>100</v>
      </c>
      <c r="D381" t="e" cm="1">
        <f t="array" aca="1" ref="D381" ca="1">INDIRECT("'Uke "&amp;B381&amp;"'!V"&amp;9+C381)</f>
        <v>#REF!</v>
      </c>
      <c r="E381" s="20" t="e" cm="1">
        <f t="array" aca="1" ref="E381" ca="1">INDIRECT("'Uke "&amp;B381&amp;"'!AB"&amp;9+C381)</f>
        <v>#REF!</v>
      </c>
    </row>
    <row r="382" spans="1:5" x14ac:dyDescent="0.25">
      <c r="A382">
        <f t="shared" si="16"/>
        <v>2761</v>
      </c>
      <c r="B382">
        <f t="shared" si="9"/>
        <v>20</v>
      </c>
      <c r="C382">
        <f t="shared" si="17"/>
        <v>101</v>
      </c>
      <c r="D382" t="e" cm="1">
        <f t="array" aca="1" ref="D382" ca="1">INDIRECT("'Uke "&amp;B382&amp;"'!V"&amp;9+C382)</f>
        <v>#REF!</v>
      </c>
      <c r="E382" s="20" t="e" cm="1">
        <f t="array" aca="1" ref="E382" ca="1">INDIRECT("'Uke "&amp;B382&amp;"'!AB"&amp;9+C382)</f>
        <v>#REF!</v>
      </c>
    </row>
    <row r="383" spans="1:5" x14ac:dyDescent="0.25">
      <c r="A383">
        <f t="shared" si="16"/>
        <v>2762</v>
      </c>
      <c r="B383">
        <f t="shared" si="9"/>
        <v>20</v>
      </c>
      <c r="C383">
        <f t="shared" si="17"/>
        <v>102</v>
      </c>
      <c r="D383" t="e" cm="1">
        <f t="array" aca="1" ref="D383" ca="1">INDIRECT("'Uke "&amp;B383&amp;"'!V"&amp;9+C383)</f>
        <v>#REF!</v>
      </c>
      <c r="E383" s="20" t="e" cm="1">
        <f t="array" aca="1" ref="E383" ca="1">INDIRECT("'Uke "&amp;B383&amp;"'!AB"&amp;9+C383)</f>
        <v>#REF!</v>
      </c>
    </row>
    <row r="384" spans="1:5" x14ac:dyDescent="0.25">
      <c r="A384">
        <f t="shared" si="16"/>
        <v>2763</v>
      </c>
      <c r="B384">
        <f t="shared" si="9"/>
        <v>20</v>
      </c>
      <c r="C384">
        <f t="shared" si="17"/>
        <v>103</v>
      </c>
      <c r="D384" t="e" cm="1">
        <f t="array" aca="1" ref="D384" ca="1">INDIRECT("'Uke "&amp;B384&amp;"'!V"&amp;9+C384)</f>
        <v>#REF!</v>
      </c>
      <c r="E384" s="20" t="e" cm="1">
        <f t="array" aca="1" ref="E384" ca="1">INDIRECT("'Uke "&amp;B384&amp;"'!AB"&amp;9+C384)</f>
        <v>#REF!</v>
      </c>
    </row>
    <row r="385" spans="1:5" x14ac:dyDescent="0.25">
      <c r="A385">
        <f t="shared" si="16"/>
        <v>2764</v>
      </c>
      <c r="B385">
        <f t="shared" si="9"/>
        <v>20</v>
      </c>
      <c r="C385">
        <f t="shared" si="17"/>
        <v>104</v>
      </c>
      <c r="D385" t="e" cm="1">
        <f t="array" aca="1" ref="D385" ca="1">INDIRECT("'Uke "&amp;B385&amp;"'!V"&amp;9+C385)</f>
        <v>#REF!</v>
      </c>
      <c r="E385" s="20" t="e" cm="1">
        <f t="array" aca="1" ref="E385" ca="1">INDIRECT("'Uke "&amp;B385&amp;"'!AB"&amp;9+C385)</f>
        <v>#REF!</v>
      </c>
    </row>
    <row r="386" spans="1:5" x14ac:dyDescent="0.25">
      <c r="A386">
        <f t="shared" si="16"/>
        <v>2765</v>
      </c>
      <c r="B386">
        <f t="shared" si="9"/>
        <v>20</v>
      </c>
      <c r="C386">
        <f t="shared" si="17"/>
        <v>105</v>
      </c>
      <c r="D386" t="e" cm="1">
        <f t="array" aca="1" ref="D386" ca="1">INDIRECT("'Uke "&amp;B386&amp;"'!V"&amp;9+C386)</f>
        <v>#REF!</v>
      </c>
      <c r="E386" s="20" t="e" cm="1">
        <f t="array" aca="1" ref="E386" ca="1">INDIRECT("'Uke "&amp;B386&amp;"'!AB"&amp;9+C386)</f>
        <v>#REF!</v>
      </c>
    </row>
    <row r="387" spans="1:5" x14ac:dyDescent="0.25">
      <c r="A387">
        <f t="shared" si="16"/>
        <v>2766</v>
      </c>
      <c r="B387">
        <f t="shared" si="9"/>
        <v>20</v>
      </c>
      <c r="C387">
        <f t="shared" si="17"/>
        <v>106</v>
      </c>
      <c r="D387" t="e" cm="1">
        <f t="array" aca="1" ref="D387" ca="1">INDIRECT("'Uke "&amp;B387&amp;"'!V"&amp;9+C387)</f>
        <v>#REF!</v>
      </c>
      <c r="E387" s="20" t="e" cm="1">
        <f t="array" aca="1" ref="E387" ca="1">INDIRECT("'Uke "&amp;B387&amp;"'!AB"&amp;9+C387)</f>
        <v>#REF!</v>
      </c>
    </row>
    <row r="388" spans="1:5" x14ac:dyDescent="0.25">
      <c r="A388">
        <f t="shared" si="16"/>
        <v>2767</v>
      </c>
      <c r="B388">
        <f t="shared" si="9"/>
        <v>20</v>
      </c>
      <c r="C388">
        <f t="shared" si="17"/>
        <v>107</v>
      </c>
      <c r="D388" t="e" cm="1">
        <f t="array" aca="1" ref="D388" ca="1">INDIRECT("'Uke "&amp;B388&amp;"'!V"&amp;9+C388)</f>
        <v>#REF!</v>
      </c>
      <c r="E388" s="20" t="e" cm="1">
        <f t="array" aca="1" ref="E388" ca="1">INDIRECT("'Uke "&amp;B388&amp;"'!AB"&amp;9+C388)</f>
        <v>#REF!</v>
      </c>
    </row>
    <row r="389" spans="1:5" x14ac:dyDescent="0.25">
      <c r="A389">
        <f t="shared" si="16"/>
        <v>2768</v>
      </c>
      <c r="B389">
        <f t="shared" si="9"/>
        <v>20</v>
      </c>
      <c r="C389">
        <f t="shared" si="17"/>
        <v>108</v>
      </c>
      <c r="D389" t="e" cm="1">
        <f t="array" aca="1" ref="D389" ca="1">INDIRECT("'Uke "&amp;B389&amp;"'!V"&amp;9+C389)</f>
        <v>#REF!</v>
      </c>
      <c r="E389" s="20" t="e" cm="1">
        <f t="array" aca="1" ref="E389" ca="1">INDIRECT("'Uke "&amp;B389&amp;"'!AB"&amp;9+C389)</f>
        <v>#REF!</v>
      </c>
    </row>
    <row r="390" spans="1:5" x14ac:dyDescent="0.25">
      <c r="A390">
        <f t="shared" si="16"/>
        <v>2769</v>
      </c>
      <c r="B390">
        <f t="shared" si="9"/>
        <v>20</v>
      </c>
      <c r="C390">
        <f t="shared" si="17"/>
        <v>109</v>
      </c>
      <c r="D390" t="e" cm="1">
        <f t="array" aca="1" ref="D390" ca="1">INDIRECT("'Uke "&amp;B390&amp;"'!V"&amp;9+C390)</f>
        <v>#REF!</v>
      </c>
      <c r="E390" s="20" t="e" cm="1">
        <f t="array" aca="1" ref="E390" ca="1">INDIRECT("'Uke "&amp;B390&amp;"'!AB"&amp;9+C390)</f>
        <v>#REF!</v>
      </c>
    </row>
    <row r="391" spans="1:5" x14ac:dyDescent="0.25">
      <c r="A391">
        <f t="shared" si="16"/>
        <v>2770</v>
      </c>
      <c r="B391">
        <f t="shared" si="9"/>
        <v>20</v>
      </c>
      <c r="C391">
        <f t="shared" si="17"/>
        <v>110</v>
      </c>
      <c r="D391" t="e" cm="1">
        <f t="array" aca="1" ref="D391" ca="1">INDIRECT("'Uke "&amp;B391&amp;"'!V"&amp;9+C391)</f>
        <v>#REF!</v>
      </c>
      <c r="E391" s="20" t="e" cm="1">
        <f t="array" aca="1" ref="E391" ca="1">INDIRECT("'Uke "&amp;B391&amp;"'!AB"&amp;9+C391)</f>
        <v>#REF!</v>
      </c>
    </row>
    <row r="392" spans="1:5" x14ac:dyDescent="0.25">
      <c r="A392">
        <f t="shared" si="16"/>
        <v>2771</v>
      </c>
      <c r="B392">
        <f t="shared" si="9"/>
        <v>20</v>
      </c>
      <c r="C392">
        <f t="shared" si="17"/>
        <v>111</v>
      </c>
      <c r="D392" t="e" cm="1">
        <f t="array" aca="1" ref="D392" ca="1">INDIRECT("'Uke "&amp;B392&amp;"'!V"&amp;9+C392)</f>
        <v>#REF!</v>
      </c>
      <c r="E392" s="20" t="e" cm="1">
        <f t="array" aca="1" ref="E392" ca="1">INDIRECT("'Uke "&amp;B392&amp;"'!AB"&amp;9+C392)</f>
        <v>#REF!</v>
      </c>
    </row>
    <row r="393" spans="1:5" x14ac:dyDescent="0.25">
      <c r="A393">
        <f t="shared" si="16"/>
        <v>2772</v>
      </c>
      <c r="B393">
        <f t="shared" si="9"/>
        <v>20</v>
      </c>
      <c r="C393">
        <f t="shared" si="17"/>
        <v>112</v>
      </c>
      <c r="D393" t="e" cm="1">
        <f t="array" aca="1" ref="D393" ca="1">INDIRECT("'Uke "&amp;B393&amp;"'!V"&amp;9+C393)</f>
        <v>#REF!</v>
      </c>
      <c r="E393" s="20" t="e" cm="1">
        <f t="array" aca="1" ref="E393" ca="1">INDIRECT("'Uke "&amp;B393&amp;"'!AB"&amp;9+C393)</f>
        <v>#REF!</v>
      </c>
    </row>
    <row r="394" spans="1:5" x14ac:dyDescent="0.25">
      <c r="A394">
        <f t="shared" si="16"/>
        <v>2773</v>
      </c>
      <c r="B394">
        <f t="shared" si="9"/>
        <v>20</v>
      </c>
      <c r="C394">
        <f t="shared" si="17"/>
        <v>113</v>
      </c>
      <c r="D394" t="e" cm="1">
        <f t="array" aca="1" ref="D394" ca="1">INDIRECT("'Uke "&amp;B394&amp;"'!V"&amp;9+C394)</f>
        <v>#REF!</v>
      </c>
      <c r="E394" s="20" t="e" cm="1">
        <f t="array" aca="1" ref="E394" ca="1">INDIRECT("'Uke "&amp;B394&amp;"'!AB"&amp;9+C394)</f>
        <v>#REF!</v>
      </c>
    </row>
    <row r="395" spans="1:5" x14ac:dyDescent="0.25">
      <c r="A395">
        <f t="shared" si="16"/>
        <v>2774</v>
      </c>
      <c r="B395">
        <f t="shared" si="9"/>
        <v>20</v>
      </c>
      <c r="C395">
        <f t="shared" si="17"/>
        <v>114</v>
      </c>
      <c r="D395" t="e" cm="1">
        <f t="array" aca="1" ref="D395" ca="1">INDIRECT("'Uke "&amp;B395&amp;"'!V"&amp;9+C395)</f>
        <v>#REF!</v>
      </c>
      <c r="E395" s="20" t="e" cm="1">
        <f t="array" aca="1" ref="E395" ca="1">INDIRECT("'Uke "&amp;B395&amp;"'!AB"&amp;9+C395)</f>
        <v>#REF!</v>
      </c>
    </row>
    <row r="396" spans="1:5" x14ac:dyDescent="0.25">
      <c r="A396">
        <f t="shared" si="16"/>
        <v>2775</v>
      </c>
      <c r="B396">
        <f t="shared" si="9"/>
        <v>20</v>
      </c>
      <c r="C396">
        <f t="shared" si="17"/>
        <v>115</v>
      </c>
      <c r="D396" t="e" cm="1">
        <f t="array" aca="1" ref="D396" ca="1">INDIRECT("'Uke "&amp;B396&amp;"'!V"&amp;9+C396)</f>
        <v>#REF!</v>
      </c>
      <c r="E396" s="20" t="e" cm="1">
        <f t="array" aca="1" ref="E396" ca="1">INDIRECT("'Uke "&amp;B396&amp;"'!AB"&amp;9+C396)</f>
        <v>#REF!</v>
      </c>
    </row>
    <row r="397" spans="1:5" x14ac:dyDescent="0.25">
      <c r="A397">
        <f t="shared" si="16"/>
        <v>2776</v>
      </c>
      <c r="B397">
        <f t="shared" si="9"/>
        <v>20</v>
      </c>
      <c r="C397">
        <f t="shared" si="17"/>
        <v>116</v>
      </c>
      <c r="D397" t="e" cm="1">
        <f t="array" aca="1" ref="D397" ca="1">INDIRECT("'Uke "&amp;B397&amp;"'!V"&amp;9+C397)</f>
        <v>#REF!</v>
      </c>
      <c r="E397" s="20" t="e" cm="1">
        <f t="array" aca="1" ref="E397" ca="1">INDIRECT("'Uke "&amp;B397&amp;"'!AB"&amp;9+C397)</f>
        <v>#REF!</v>
      </c>
    </row>
    <row r="398" spans="1:5" x14ac:dyDescent="0.25">
      <c r="A398">
        <f t="shared" si="16"/>
        <v>2777</v>
      </c>
      <c r="B398">
        <f t="shared" si="9"/>
        <v>20</v>
      </c>
      <c r="C398">
        <f t="shared" si="17"/>
        <v>117</v>
      </c>
      <c r="D398" t="e" cm="1">
        <f t="array" aca="1" ref="D398" ca="1">INDIRECT("'Uke "&amp;B398&amp;"'!V"&amp;9+C398)</f>
        <v>#REF!</v>
      </c>
      <c r="E398" s="20" t="e" cm="1">
        <f t="array" aca="1" ref="E398" ca="1">INDIRECT("'Uke "&amp;B398&amp;"'!AB"&amp;9+C398)</f>
        <v>#REF!</v>
      </c>
    </row>
    <row r="399" spans="1:5" x14ac:dyDescent="0.25">
      <c r="A399">
        <f t="shared" si="16"/>
        <v>2778</v>
      </c>
      <c r="B399">
        <f t="shared" si="9"/>
        <v>20</v>
      </c>
      <c r="C399">
        <f t="shared" si="17"/>
        <v>118</v>
      </c>
      <c r="D399" t="e" cm="1">
        <f t="array" aca="1" ref="D399" ca="1">INDIRECT("'Uke "&amp;B399&amp;"'!V"&amp;9+C399)</f>
        <v>#REF!</v>
      </c>
      <c r="E399" s="20" t="e" cm="1">
        <f t="array" aca="1" ref="E399" ca="1">INDIRECT("'Uke "&amp;B399&amp;"'!AB"&amp;9+C399)</f>
        <v>#REF!</v>
      </c>
    </row>
    <row r="400" spans="1:5" x14ac:dyDescent="0.25">
      <c r="A400">
        <f t="shared" si="16"/>
        <v>2779</v>
      </c>
      <c r="B400">
        <f t="shared" si="9"/>
        <v>20</v>
      </c>
      <c r="C400">
        <f t="shared" si="17"/>
        <v>119</v>
      </c>
      <c r="D400" t="e" cm="1">
        <f t="array" aca="1" ref="D400" ca="1">INDIRECT("'Uke "&amp;B400&amp;"'!V"&amp;9+C400)</f>
        <v>#REF!</v>
      </c>
      <c r="E400" s="20" t="e" cm="1">
        <f t="array" aca="1" ref="E400" ca="1">INDIRECT("'Uke "&amp;B400&amp;"'!AB"&amp;9+C400)</f>
        <v>#REF!</v>
      </c>
    </row>
    <row r="401" spans="1:5" x14ac:dyDescent="0.25">
      <c r="A401">
        <f t="shared" ref="A401:A464" si="18">A400+1</f>
        <v>2780</v>
      </c>
      <c r="B401">
        <f t="shared" si="9"/>
        <v>20</v>
      </c>
      <c r="C401">
        <f t="shared" ref="C401:C464" si="19">MOD(A401-1,140)+1</f>
        <v>120</v>
      </c>
      <c r="D401" t="e" cm="1">
        <f t="array" aca="1" ref="D401" ca="1">INDIRECT("'Uke "&amp;B401&amp;"'!V"&amp;9+C401)</f>
        <v>#REF!</v>
      </c>
      <c r="E401" s="20" t="e" cm="1">
        <f t="array" aca="1" ref="E401" ca="1">INDIRECT("'Uke "&amp;B401&amp;"'!AB"&amp;9+C401)</f>
        <v>#REF!</v>
      </c>
    </row>
    <row r="402" spans="1:5" x14ac:dyDescent="0.25">
      <c r="A402">
        <f t="shared" si="18"/>
        <v>2781</v>
      </c>
      <c r="B402">
        <f t="shared" si="9"/>
        <v>20</v>
      </c>
      <c r="C402">
        <f t="shared" si="19"/>
        <v>121</v>
      </c>
      <c r="D402" t="e" cm="1">
        <f t="array" aca="1" ref="D402" ca="1">INDIRECT("'Uke "&amp;B402&amp;"'!V"&amp;9+C402)</f>
        <v>#REF!</v>
      </c>
      <c r="E402" s="20" t="e" cm="1">
        <f t="array" aca="1" ref="E402" ca="1">INDIRECT("'Uke "&amp;B402&amp;"'!AB"&amp;9+C402)</f>
        <v>#REF!</v>
      </c>
    </row>
    <row r="403" spans="1:5" x14ac:dyDescent="0.25">
      <c r="A403">
        <f t="shared" si="18"/>
        <v>2782</v>
      </c>
      <c r="B403">
        <f t="shared" si="9"/>
        <v>20</v>
      </c>
      <c r="C403">
        <f t="shared" si="19"/>
        <v>122</v>
      </c>
      <c r="D403" t="e" cm="1">
        <f t="array" aca="1" ref="D403" ca="1">INDIRECT("'Uke "&amp;B403&amp;"'!V"&amp;9+C403)</f>
        <v>#REF!</v>
      </c>
      <c r="E403" s="20" t="e" cm="1">
        <f t="array" aca="1" ref="E403" ca="1">INDIRECT("'Uke "&amp;B403&amp;"'!AB"&amp;9+C403)</f>
        <v>#REF!</v>
      </c>
    </row>
    <row r="404" spans="1:5" x14ac:dyDescent="0.25">
      <c r="A404">
        <f t="shared" si="18"/>
        <v>2783</v>
      </c>
      <c r="B404">
        <f t="shared" si="9"/>
        <v>20</v>
      </c>
      <c r="C404">
        <f t="shared" si="19"/>
        <v>123</v>
      </c>
      <c r="D404" t="e" cm="1">
        <f t="array" aca="1" ref="D404" ca="1">INDIRECT("'Uke "&amp;B404&amp;"'!V"&amp;9+C404)</f>
        <v>#REF!</v>
      </c>
      <c r="E404" s="20" t="e" cm="1">
        <f t="array" aca="1" ref="E404" ca="1">INDIRECT("'Uke "&amp;B404&amp;"'!AB"&amp;9+C404)</f>
        <v>#REF!</v>
      </c>
    </row>
    <row r="405" spans="1:5" x14ac:dyDescent="0.25">
      <c r="A405">
        <f t="shared" si="18"/>
        <v>2784</v>
      </c>
      <c r="B405">
        <f t="shared" si="9"/>
        <v>20</v>
      </c>
      <c r="C405">
        <f t="shared" si="19"/>
        <v>124</v>
      </c>
      <c r="D405" t="e" cm="1">
        <f t="array" aca="1" ref="D405" ca="1">INDIRECT("'Uke "&amp;B405&amp;"'!V"&amp;9+C405)</f>
        <v>#REF!</v>
      </c>
      <c r="E405" s="20" t="e" cm="1">
        <f t="array" aca="1" ref="E405" ca="1">INDIRECT("'Uke "&amp;B405&amp;"'!AB"&amp;9+C405)</f>
        <v>#REF!</v>
      </c>
    </row>
    <row r="406" spans="1:5" x14ac:dyDescent="0.25">
      <c r="A406">
        <f t="shared" si="18"/>
        <v>2785</v>
      </c>
      <c r="B406">
        <f t="shared" si="9"/>
        <v>20</v>
      </c>
      <c r="C406">
        <f t="shared" si="19"/>
        <v>125</v>
      </c>
      <c r="D406" t="e" cm="1">
        <f t="array" aca="1" ref="D406" ca="1">INDIRECT("'Uke "&amp;B406&amp;"'!V"&amp;9+C406)</f>
        <v>#REF!</v>
      </c>
      <c r="E406" s="20" t="e" cm="1">
        <f t="array" aca="1" ref="E406" ca="1">INDIRECT("'Uke "&amp;B406&amp;"'!AB"&amp;9+C406)</f>
        <v>#REF!</v>
      </c>
    </row>
    <row r="407" spans="1:5" x14ac:dyDescent="0.25">
      <c r="A407">
        <f t="shared" si="18"/>
        <v>2786</v>
      </c>
      <c r="B407">
        <f t="shared" si="9"/>
        <v>20</v>
      </c>
      <c r="C407">
        <f t="shared" si="19"/>
        <v>126</v>
      </c>
      <c r="D407" t="e" cm="1">
        <f t="array" aca="1" ref="D407" ca="1">INDIRECT("'Uke "&amp;B407&amp;"'!V"&amp;9+C407)</f>
        <v>#REF!</v>
      </c>
      <c r="E407" s="20" t="e" cm="1">
        <f t="array" aca="1" ref="E407" ca="1">INDIRECT("'Uke "&amp;B407&amp;"'!AB"&amp;9+C407)</f>
        <v>#REF!</v>
      </c>
    </row>
    <row r="408" spans="1:5" x14ac:dyDescent="0.25">
      <c r="A408">
        <f t="shared" si="18"/>
        <v>2787</v>
      </c>
      <c r="B408">
        <f t="shared" si="9"/>
        <v>20</v>
      </c>
      <c r="C408">
        <f t="shared" si="19"/>
        <v>127</v>
      </c>
      <c r="D408" t="e" cm="1">
        <f t="array" aca="1" ref="D408" ca="1">INDIRECT("'Uke "&amp;B408&amp;"'!V"&amp;9+C408)</f>
        <v>#REF!</v>
      </c>
      <c r="E408" s="20" t="e" cm="1">
        <f t="array" aca="1" ref="E408" ca="1">INDIRECT("'Uke "&amp;B408&amp;"'!AB"&amp;9+C408)</f>
        <v>#REF!</v>
      </c>
    </row>
    <row r="409" spans="1:5" x14ac:dyDescent="0.25">
      <c r="A409">
        <f t="shared" si="18"/>
        <v>2788</v>
      </c>
      <c r="B409">
        <f t="shared" si="9"/>
        <v>20</v>
      </c>
      <c r="C409">
        <f t="shared" si="19"/>
        <v>128</v>
      </c>
      <c r="D409" t="e" cm="1">
        <f t="array" aca="1" ref="D409" ca="1">INDIRECT("'Uke "&amp;B409&amp;"'!V"&amp;9+C409)</f>
        <v>#REF!</v>
      </c>
      <c r="E409" s="20" t="e" cm="1">
        <f t="array" aca="1" ref="E409" ca="1">INDIRECT("'Uke "&amp;B409&amp;"'!AB"&amp;9+C409)</f>
        <v>#REF!</v>
      </c>
    </row>
    <row r="410" spans="1:5" x14ac:dyDescent="0.25">
      <c r="A410">
        <f t="shared" si="18"/>
        <v>2789</v>
      </c>
      <c r="B410">
        <f t="shared" si="9"/>
        <v>20</v>
      </c>
      <c r="C410">
        <f t="shared" si="19"/>
        <v>129</v>
      </c>
      <c r="D410" t="e" cm="1">
        <f t="array" aca="1" ref="D410" ca="1">INDIRECT("'Uke "&amp;B410&amp;"'!V"&amp;9+C410)</f>
        <v>#REF!</v>
      </c>
      <c r="E410" s="20" t="e" cm="1">
        <f t="array" aca="1" ref="E410" ca="1">INDIRECT("'Uke "&amp;B410&amp;"'!AB"&amp;9+C410)</f>
        <v>#REF!</v>
      </c>
    </row>
    <row r="411" spans="1:5" x14ac:dyDescent="0.25">
      <c r="A411">
        <f t="shared" si="18"/>
        <v>2790</v>
      </c>
      <c r="B411">
        <f t="shared" si="9"/>
        <v>20</v>
      </c>
      <c r="C411">
        <f t="shared" si="19"/>
        <v>130</v>
      </c>
      <c r="D411" t="e" cm="1">
        <f t="array" aca="1" ref="D411" ca="1">INDIRECT("'Uke "&amp;B411&amp;"'!V"&amp;9+C411)</f>
        <v>#REF!</v>
      </c>
      <c r="E411" s="20" t="e" cm="1">
        <f t="array" aca="1" ref="E411" ca="1">INDIRECT("'Uke "&amp;B411&amp;"'!AB"&amp;9+C411)</f>
        <v>#REF!</v>
      </c>
    </row>
    <row r="412" spans="1:5" x14ac:dyDescent="0.25">
      <c r="A412">
        <f t="shared" si="18"/>
        <v>2791</v>
      </c>
      <c r="B412">
        <f t="shared" si="9"/>
        <v>20</v>
      </c>
      <c r="C412">
        <f t="shared" si="19"/>
        <v>131</v>
      </c>
      <c r="D412" t="e" cm="1">
        <f t="array" aca="1" ref="D412" ca="1">INDIRECT("'Uke "&amp;B412&amp;"'!V"&amp;9+C412)</f>
        <v>#REF!</v>
      </c>
      <c r="E412" s="20" t="e" cm="1">
        <f t="array" aca="1" ref="E412" ca="1">INDIRECT("'Uke "&amp;B412&amp;"'!AB"&amp;9+C412)</f>
        <v>#REF!</v>
      </c>
    </row>
    <row r="413" spans="1:5" x14ac:dyDescent="0.25">
      <c r="A413">
        <f t="shared" si="18"/>
        <v>2792</v>
      </c>
      <c r="B413">
        <f t="shared" si="9"/>
        <v>20</v>
      </c>
      <c r="C413">
        <f t="shared" si="19"/>
        <v>132</v>
      </c>
      <c r="D413" t="e" cm="1">
        <f t="array" aca="1" ref="D413" ca="1">INDIRECT("'Uke "&amp;B413&amp;"'!V"&amp;9+C413)</f>
        <v>#REF!</v>
      </c>
      <c r="E413" s="20" t="e" cm="1">
        <f t="array" aca="1" ref="E413" ca="1">INDIRECT("'Uke "&amp;B413&amp;"'!AB"&amp;9+C413)</f>
        <v>#REF!</v>
      </c>
    </row>
    <row r="414" spans="1:5" x14ac:dyDescent="0.25">
      <c r="A414">
        <f t="shared" si="18"/>
        <v>2793</v>
      </c>
      <c r="B414">
        <f t="shared" si="9"/>
        <v>20</v>
      </c>
      <c r="C414">
        <f t="shared" si="19"/>
        <v>133</v>
      </c>
      <c r="D414" t="e" cm="1">
        <f t="array" aca="1" ref="D414" ca="1">INDIRECT("'Uke "&amp;B414&amp;"'!V"&amp;9+C414)</f>
        <v>#REF!</v>
      </c>
      <c r="E414" s="20" t="e" cm="1">
        <f t="array" aca="1" ref="E414" ca="1">INDIRECT("'Uke "&amp;B414&amp;"'!AB"&amp;9+C414)</f>
        <v>#REF!</v>
      </c>
    </row>
    <row r="415" spans="1:5" x14ac:dyDescent="0.25">
      <c r="A415">
        <f t="shared" si="18"/>
        <v>2794</v>
      </c>
      <c r="B415">
        <f t="shared" si="9"/>
        <v>20</v>
      </c>
      <c r="C415">
        <f t="shared" si="19"/>
        <v>134</v>
      </c>
      <c r="D415" t="e" cm="1">
        <f t="array" aca="1" ref="D415" ca="1">INDIRECT("'Uke "&amp;B415&amp;"'!V"&amp;9+C415)</f>
        <v>#REF!</v>
      </c>
      <c r="E415" s="20" t="e" cm="1">
        <f t="array" aca="1" ref="E415" ca="1">INDIRECT("'Uke "&amp;B415&amp;"'!AB"&amp;9+C415)</f>
        <v>#REF!</v>
      </c>
    </row>
    <row r="416" spans="1:5" x14ac:dyDescent="0.25">
      <c r="A416">
        <f t="shared" si="18"/>
        <v>2795</v>
      </c>
      <c r="B416">
        <f t="shared" si="9"/>
        <v>20</v>
      </c>
      <c r="C416">
        <f t="shared" si="19"/>
        <v>135</v>
      </c>
      <c r="D416" t="e" cm="1">
        <f t="array" aca="1" ref="D416" ca="1">INDIRECT("'Uke "&amp;B416&amp;"'!V"&amp;9+C416)</f>
        <v>#REF!</v>
      </c>
      <c r="E416" s="20" t="e" cm="1">
        <f t="array" aca="1" ref="E416" ca="1">INDIRECT("'Uke "&amp;B416&amp;"'!AB"&amp;9+C416)</f>
        <v>#REF!</v>
      </c>
    </row>
    <row r="417" spans="1:5" x14ac:dyDescent="0.25">
      <c r="A417">
        <f t="shared" si="18"/>
        <v>2796</v>
      </c>
      <c r="B417">
        <f t="shared" si="9"/>
        <v>20</v>
      </c>
      <c r="C417">
        <f t="shared" si="19"/>
        <v>136</v>
      </c>
      <c r="D417" t="e" cm="1">
        <f t="array" aca="1" ref="D417" ca="1">INDIRECT("'Uke "&amp;B417&amp;"'!V"&amp;9+C417)</f>
        <v>#REF!</v>
      </c>
      <c r="E417" s="20" t="e" cm="1">
        <f t="array" aca="1" ref="E417" ca="1">INDIRECT("'Uke "&amp;B417&amp;"'!AB"&amp;9+C417)</f>
        <v>#REF!</v>
      </c>
    </row>
    <row r="418" spans="1:5" x14ac:dyDescent="0.25">
      <c r="A418">
        <f t="shared" si="18"/>
        <v>2797</v>
      </c>
      <c r="B418">
        <f t="shared" si="9"/>
        <v>20</v>
      </c>
      <c r="C418">
        <f t="shared" si="19"/>
        <v>137</v>
      </c>
      <c r="D418" t="e" cm="1">
        <f t="array" aca="1" ref="D418" ca="1">INDIRECT("'Uke "&amp;B418&amp;"'!V"&amp;9+C418)</f>
        <v>#REF!</v>
      </c>
      <c r="E418" s="20" t="e" cm="1">
        <f t="array" aca="1" ref="E418" ca="1">INDIRECT("'Uke "&amp;B418&amp;"'!AB"&amp;9+C418)</f>
        <v>#REF!</v>
      </c>
    </row>
    <row r="419" spans="1:5" x14ac:dyDescent="0.25">
      <c r="A419">
        <f t="shared" si="18"/>
        <v>2798</v>
      </c>
      <c r="B419">
        <f t="shared" si="9"/>
        <v>20</v>
      </c>
      <c r="C419">
        <f t="shared" si="19"/>
        <v>138</v>
      </c>
      <c r="D419" t="e" cm="1">
        <f t="array" aca="1" ref="D419" ca="1">INDIRECT("'Uke "&amp;B419&amp;"'!V"&amp;9+C419)</f>
        <v>#REF!</v>
      </c>
      <c r="E419" s="20" t="e" cm="1">
        <f t="array" aca="1" ref="E419" ca="1">INDIRECT("'Uke "&amp;B419&amp;"'!AB"&amp;9+C419)</f>
        <v>#REF!</v>
      </c>
    </row>
    <row r="420" spans="1:5" x14ac:dyDescent="0.25">
      <c r="A420">
        <f t="shared" si="18"/>
        <v>2799</v>
      </c>
      <c r="B420">
        <f t="shared" si="9"/>
        <v>20</v>
      </c>
      <c r="C420">
        <f t="shared" si="19"/>
        <v>139</v>
      </c>
      <c r="D420" t="e" cm="1">
        <f t="array" aca="1" ref="D420" ca="1">INDIRECT("'Uke "&amp;B420&amp;"'!V"&amp;9+C420)</f>
        <v>#REF!</v>
      </c>
      <c r="E420" s="20" t="e" cm="1">
        <f t="array" aca="1" ref="E420" ca="1">INDIRECT("'Uke "&amp;B420&amp;"'!AB"&amp;9+C420)</f>
        <v>#REF!</v>
      </c>
    </row>
    <row r="421" spans="1:5" x14ac:dyDescent="0.25">
      <c r="A421">
        <f t="shared" si="18"/>
        <v>2800</v>
      </c>
      <c r="B421">
        <f t="shared" si="9"/>
        <v>20</v>
      </c>
      <c r="C421">
        <f t="shared" si="19"/>
        <v>140</v>
      </c>
      <c r="D421" t="e" cm="1">
        <f t="array" aca="1" ref="D421" ca="1">INDIRECT("'Uke "&amp;B421&amp;"'!V"&amp;9+C421)</f>
        <v>#REF!</v>
      </c>
      <c r="E421" s="20" t="e" cm="1">
        <f t="array" aca="1" ref="E421" ca="1">INDIRECT("'Uke "&amp;B421&amp;"'!AB"&amp;9+C421)</f>
        <v>#REF!</v>
      </c>
    </row>
    <row r="422" spans="1:5" x14ac:dyDescent="0.25">
      <c r="A422">
        <f t="shared" si="18"/>
        <v>2801</v>
      </c>
      <c r="B422">
        <f t="shared" si="9"/>
        <v>21</v>
      </c>
      <c r="C422">
        <f t="shared" si="19"/>
        <v>1</v>
      </c>
      <c r="D422" t="e" cm="1">
        <f t="array" aca="1" ref="D422" ca="1">INDIRECT("'Uke "&amp;B422&amp;"'!V"&amp;9+C422)</f>
        <v>#REF!</v>
      </c>
      <c r="E422" s="20" t="e" cm="1">
        <f t="array" aca="1" ref="E422" ca="1">INDIRECT("'Uke "&amp;B422&amp;"'!AB"&amp;9+C422)</f>
        <v>#REF!</v>
      </c>
    </row>
    <row r="423" spans="1:5" x14ac:dyDescent="0.25">
      <c r="A423">
        <f t="shared" si="18"/>
        <v>2802</v>
      </c>
      <c r="B423">
        <f t="shared" si="9"/>
        <v>21</v>
      </c>
      <c r="C423">
        <f t="shared" si="19"/>
        <v>2</v>
      </c>
      <c r="D423" t="e" cm="1">
        <f t="array" aca="1" ref="D423" ca="1">INDIRECT("'Uke "&amp;B423&amp;"'!V"&amp;9+C423)</f>
        <v>#REF!</v>
      </c>
      <c r="E423" s="20" t="e" cm="1">
        <f t="array" aca="1" ref="E423" ca="1">INDIRECT("'Uke "&amp;B423&amp;"'!AB"&amp;9+C423)</f>
        <v>#REF!</v>
      </c>
    </row>
    <row r="424" spans="1:5" x14ac:dyDescent="0.25">
      <c r="A424">
        <f t="shared" si="18"/>
        <v>2803</v>
      </c>
      <c r="B424">
        <f t="shared" si="9"/>
        <v>21</v>
      </c>
      <c r="C424">
        <f t="shared" si="19"/>
        <v>3</v>
      </c>
      <c r="D424" t="e" cm="1">
        <f t="array" aca="1" ref="D424" ca="1">INDIRECT("'Uke "&amp;B424&amp;"'!V"&amp;9+C424)</f>
        <v>#REF!</v>
      </c>
      <c r="E424" s="20" t="e" cm="1">
        <f t="array" aca="1" ref="E424" ca="1">INDIRECT("'Uke "&amp;B424&amp;"'!AB"&amp;9+C424)</f>
        <v>#REF!</v>
      </c>
    </row>
    <row r="425" spans="1:5" x14ac:dyDescent="0.25">
      <c r="A425">
        <f t="shared" si="18"/>
        <v>2804</v>
      </c>
      <c r="B425">
        <f t="shared" si="9"/>
        <v>21</v>
      </c>
      <c r="C425">
        <f t="shared" si="19"/>
        <v>4</v>
      </c>
      <c r="D425" t="e" cm="1">
        <f t="array" aca="1" ref="D425" ca="1">INDIRECT("'Uke "&amp;B425&amp;"'!V"&amp;9+C425)</f>
        <v>#REF!</v>
      </c>
      <c r="E425" s="20" t="e" cm="1">
        <f t="array" aca="1" ref="E425" ca="1">INDIRECT("'Uke "&amp;B425&amp;"'!AB"&amp;9+C425)</f>
        <v>#REF!</v>
      </c>
    </row>
    <row r="426" spans="1:5" x14ac:dyDescent="0.25">
      <c r="A426">
        <f t="shared" si="18"/>
        <v>2805</v>
      </c>
      <c r="B426">
        <f t="shared" si="9"/>
        <v>21</v>
      </c>
      <c r="C426">
        <f t="shared" si="19"/>
        <v>5</v>
      </c>
      <c r="D426" t="e" cm="1">
        <f t="array" aca="1" ref="D426" ca="1">INDIRECT("'Uke "&amp;B426&amp;"'!V"&amp;9+C426)</f>
        <v>#REF!</v>
      </c>
      <c r="E426" s="20" t="e" cm="1">
        <f t="array" aca="1" ref="E426" ca="1">INDIRECT("'Uke "&amp;B426&amp;"'!AB"&amp;9+C426)</f>
        <v>#REF!</v>
      </c>
    </row>
    <row r="427" spans="1:5" x14ac:dyDescent="0.25">
      <c r="A427">
        <f t="shared" si="18"/>
        <v>2806</v>
      </c>
      <c r="B427">
        <f t="shared" si="9"/>
        <v>21</v>
      </c>
      <c r="C427">
        <f t="shared" si="19"/>
        <v>6</v>
      </c>
      <c r="D427" t="e" cm="1">
        <f t="array" aca="1" ref="D427" ca="1">INDIRECT("'Uke "&amp;B427&amp;"'!V"&amp;9+C427)</f>
        <v>#REF!</v>
      </c>
      <c r="E427" s="20" t="e" cm="1">
        <f t="array" aca="1" ref="E427" ca="1">INDIRECT("'Uke "&amp;B427&amp;"'!AB"&amp;9+C427)</f>
        <v>#REF!</v>
      </c>
    </row>
    <row r="428" spans="1:5" x14ac:dyDescent="0.25">
      <c r="A428">
        <f t="shared" si="18"/>
        <v>2807</v>
      </c>
      <c r="B428">
        <f t="shared" si="9"/>
        <v>21</v>
      </c>
      <c r="C428">
        <f t="shared" si="19"/>
        <v>7</v>
      </c>
      <c r="D428" t="e" cm="1">
        <f t="array" aca="1" ref="D428" ca="1">INDIRECT("'Uke "&amp;B428&amp;"'!V"&amp;9+C428)</f>
        <v>#REF!</v>
      </c>
      <c r="E428" s="20" t="e" cm="1">
        <f t="array" aca="1" ref="E428" ca="1">INDIRECT("'Uke "&amp;B428&amp;"'!AB"&amp;9+C428)</f>
        <v>#REF!</v>
      </c>
    </row>
    <row r="429" spans="1:5" x14ac:dyDescent="0.25">
      <c r="A429">
        <f t="shared" si="18"/>
        <v>2808</v>
      </c>
      <c r="B429">
        <f t="shared" si="9"/>
        <v>21</v>
      </c>
      <c r="C429">
        <f t="shared" si="19"/>
        <v>8</v>
      </c>
      <c r="D429" t="e" cm="1">
        <f t="array" aca="1" ref="D429" ca="1">INDIRECT("'Uke "&amp;B429&amp;"'!V"&amp;9+C429)</f>
        <v>#REF!</v>
      </c>
      <c r="E429" s="20" t="e" cm="1">
        <f t="array" aca="1" ref="E429" ca="1">INDIRECT("'Uke "&amp;B429&amp;"'!AB"&amp;9+C429)</f>
        <v>#REF!</v>
      </c>
    </row>
    <row r="430" spans="1:5" x14ac:dyDescent="0.25">
      <c r="A430">
        <f t="shared" si="18"/>
        <v>2809</v>
      </c>
      <c r="B430">
        <f t="shared" si="9"/>
        <v>21</v>
      </c>
      <c r="C430">
        <f t="shared" si="19"/>
        <v>9</v>
      </c>
      <c r="D430" t="e" cm="1">
        <f t="array" aca="1" ref="D430" ca="1">INDIRECT("'Uke "&amp;B430&amp;"'!V"&amp;9+C430)</f>
        <v>#REF!</v>
      </c>
      <c r="E430" s="20" t="e" cm="1">
        <f t="array" aca="1" ref="E430" ca="1">INDIRECT("'Uke "&amp;B430&amp;"'!AB"&amp;9+C430)</f>
        <v>#REF!</v>
      </c>
    </row>
    <row r="431" spans="1:5" x14ac:dyDescent="0.25">
      <c r="A431">
        <f t="shared" si="18"/>
        <v>2810</v>
      </c>
      <c r="B431">
        <f t="shared" si="9"/>
        <v>21</v>
      </c>
      <c r="C431">
        <f t="shared" si="19"/>
        <v>10</v>
      </c>
      <c r="D431" t="e" cm="1">
        <f t="array" aca="1" ref="D431" ca="1">INDIRECT("'Uke "&amp;B431&amp;"'!V"&amp;9+C431)</f>
        <v>#REF!</v>
      </c>
      <c r="E431" s="20" t="e" cm="1">
        <f t="array" aca="1" ref="E431" ca="1">INDIRECT("'Uke "&amp;B431&amp;"'!AB"&amp;9+C431)</f>
        <v>#REF!</v>
      </c>
    </row>
    <row r="432" spans="1:5" x14ac:dyDescent="0.25">
      <c r="A432">
        <f t="shared" si="18"/>
        <v>2811</v>
      </c>
      <c r="B432">
        <f t="shared" si="9"/>
        <v>21</v>
      </c>
      <c r="C432">
        <f t="shared" si="19"/>
        <v>11</v>
      </c>
      <c r="D432" t="e" cm="1">
        <f t="array" aca="1" ref="D432" ca="1">INDIRECT("'Uke "&amp;B432&amp;"'!V"&amp;9+C432)</f>
        <v>#REF!</v>
      </c>
      <c r="E432" s="20" t="e" cm="1">
        <f t="array" aca="1" ref="E432" ca="1">INDIRECT("'Uke "&amp;B432&amp;"'!AB"&amp;9+C432)</f>
        <v>#REF!</v>
      </c>
    </row>
    <row r="433" spans="1:5" x14ac:dyDescent="0.25">
      <c r="A433">
        <f t="shared" si="18"/>
        <v>2812</v>
      </c>
      <c r="B433">
        <f t="shared" si="9"/>
        <v>21</v>
      </c>
      <c r="C433">
        <f t="shared" si="19"/>
        <v>12</v>
      </c>
      <c r="D433" t="e" cm="1">
        <f t="array" aca="1" ref="D433" ca="1">INDIRECT("'Uke "&amp;B433&amp;"'!V"&amp;9+C433)</f>
        <v>#REF!</v>
      </c>
      <c r="E433" s="20" t="e" cm="1">
        <f t="array" aca="1" ref="E433" ca="1">INDIRECT("'Uke "&amp;B433&amp;"'!AB"&amp;9+C433)</f>
        <v>#REF!</v>
      </c>
    </row>
    <row r="434" spans="1:5" x14ac:dyDescent="0.25">
      <c r="A434">
        <f t="shared" si="18"/>
        <v>2813</v>
      </c>
      <c r="B434">
        <f t="shared" si="9"/>
        <v>21</v>
      </c>
      <c r="C434">
        <f t="shared" si="19"/>
        <v>13</v>
      </c>
      <c r="D434" t="e" cm="1">
        <f t="array" aca="1" ref="D434" ca="1">INDIRECT("'Uke "&amp;B434&amp;"'!V"&amp;9+C434)</f>
        <v>#REF!</v>
      </c>
      <c r="E434" s="20" t="e" cm="1">
        <f t="array" aca="1" ref="E434" ca="1">INDIRECT("'Uke "&amp;B434&amp;"'!AB"&amp;9+C434)</f>
        <v>#REF!</v>
      </c>
    </row>
    <row r="435" spans="1:5" x14ac:dyDescent="0.25">
      <c r="A435">
        <f t="shared" si="18"/>
        <v>2814</v>
      </c>
      <c r="B435">
        <f t="shared" si="9"/>
        <v>21</v>
      </c>
      <c r="C435">
        <f t="shared" si="19"/>
        <v>14</v>
      </c>
      <c r="D435" t="e" cm="1">
        <f t="array" aca="1" ref="D435" ca="1">INDIRECT("'Uke "&amp;B435&amp;"'!V"&amp;9+C435)</f>
        <v>#REF!</v>
      </c>
      <c r="E435" s="20" t="e" cm="1">
        <f t="array" aca="1" ref="E435" ca="1">INDIRECT("'Uke "&amp;B435&amp;"'!AB"&amp;9+C435)</f>
        <v>#REF!</v>
      </c>
    </row>
    <row r="436" spans="1:5" x14ac:dyDescent="0.25">
      <c r="A436">
        <f t="shared" si="18"/>
        <v>2815</v>
      </c>
      <c r="B436">
        <f t="shared" si="9"/>
        <v>21</v>
      </c>
      <c r="C436">
        <f t="shared" si="19"/>
        <v>15</v>
      </c>
      <c r="D436" t="e" cm="1">
        <f t="array" aca="1" ref="D436" ca="1">INDIRECT("'Uke "&amp;B436&amp;"'!V"&amp;9+C436)</f>
        <v>#REF!</v>
      </c>
      <c r="E436" s="20" t="e" cm="1">
        <f t="array" aca="1" ref="E436" ca="1">INDIRECT("'Uke "&amp;B436&amp;"'!AB"&amp;9+C436)</f>
        <v>#REF!</v>
      </c>
    </row>
    <row r="437" spans="1:5" x14ac:dyDescent="0.25">
      <c r="A437">
        <f t="shared" si="18"/>
        <v>2816</v>
      </c>
      <c r="B437">
        <f t="shared" si="9"/>
        <v>21</v>
      </c>
      <c r="C437">
        <f t="shared" si="19"/>
        <v>16</v>
      </c>
      <c r="D437" t="e" cm="1">
        <f t="array" aca="1" ref="D437" ca="1">INDIRECT("'Uke "&amp;B437&amp;"'!V"&amp;9+C437)</f>
        <v>#REF!</v>
      </c>
      <c r="E437" s="20" t="e" cm="1">
        <f t="array" aca="1" ref="E437" ca="1">INDIRECT("'Uke "&amp;B437&amp;"'!AB"&amp;9+C437)</f>
        <v>#REF!</v>
      </c>
    </row>
    <row r="438" spans="1:5" x14ac:dyDescent="0.25">
      <c r="A438">
        <f t="shared" si="18"/>
        <v>2817</v>
      </c>
      <c r="B438">
        <f t="shared" si="9"/>
        <v>21</v>
      </c>
      <c r="C438">
        <f t="shared" si="19"/>
        <v>17</v>
      </c>
      <c r="D438" t="e" cm="1">
        <f t="array" aca="1" ref="D438" ca="1">INDIRECT("'Uke "&amp;B438&amp;"'!V"&amp;9+C438)</f>
        <v>#REF!</v>
      </c>
      <c r="E438" s="20" t="e" cm="1">
        <f t="array" aca="1" ref="E438" ca="1">INDIRECT("'Uke "&amp;B438&amp;"'!AB"&amp;9+C438)</f>
        <v>#REF!</v>
      </c>
    </row>
    <row r="439" spans="1:5" x14ac:dyDescent="0.25">
      <c r="A439">
        <f t="shared" si="18"/>
        <v>2818</v>
      </c>
      <c r="B439">
        <f t="shared" si="9"/>
        <v>21</v>
      </c>
      <c r="C439">
        <f t="shared" si="19"/>
        <v>18</v>
      </c>
      <c r="D439" t="e" cm="1">
        <f t="array" aca="1" ref="D439" ca="1">INDIRECT("'Uke "&amp;B439&amp;"'!V"&amp;9+C439)</f>
        <v>#REF!</v>
      </c>
      <c r="E439" s="20" t="e" cm="1">
        <f t="array" aca="1" ref="E439" ca="1">INDIRECT("'Uke "&amp;B439&amp;"'!AB"&amp;9+C439)</f>
        <v>#REF!</v>
      </c>
    </row>
    <row r="440" spans="1:5" x14ac:dyDescent="0.25">
      <c r="A440">
        <f t="shared" si="18"/>
        <v>2819</v>
      </c>
      <c r="B440">
        <f t="shared" si="9"/>
        <v>21</v>
      </c>
      <c r="C440">
        <f t="shared" si="19"/>
        <v>19</v>
      </c>
      <c r="D440" t="e" cm="1">
        <f t="array" aca="1" ref="D440" ca="1">INDIRECT("'Uke "&amp;B440&amp;"'!V"&amp;9+C440)</f>
        <v>#REF!</v>
      </c>
      <c r="E440" s="20" t="e" cm="1">
        <f t="array" aca="1" ref="E440" ca="1">INDIRECT("'Uke "&amp;B440&amp;"'!AB"&amp;9+C440)</f>
        <v>#REF!</v>
      </c>
    </row>
    <row r="441" spans="1:5" x14ac:dyDescent="0.25">
      <c r="A441">
        <f t="shared" si="18"/>
        <v>2820</v>
      </c>
      <c r="B441">
        <f t="shared" si="9"/>
        <v>21</v>
      </c>
      <c r="C441">
        <f t="shared" si="19"/>
        <v>20</v>
      </c>
      <c r="D441" t="e" cm="1">
        <f t="array" aca="1" ref="D441" ca="1">INDIRECT("'Uke "&amp;B441&amp;"'!V"&amp;9+C441)</f>
        <v>#REF!</v>
      </c>
      <c r="E441" s="20" t="e" cm="1">
        <f t="array" aca="1" ref="E441" ca="1">INDIRECT("'Uke "&amp;B441&amp;"'!AB"&amp;9+C441)</f>
        <v>#REF!</v>
      </c>
    </row>
    <row r="442" spans="1:5" x14ac:dyDescent="0.25">
      <c r="A442">
        <f t="shared" si="18"/>
        <v>2821</v>
      </c>
      <c r="B442">
        <f t="shared" si="9"/>
        <v>21</v>
      </c>
      <c r="C442">
        <f t="shared" si="19"/>
        <v>21</v>
      </c>
      <c r="D442" t="e" cm="1">
        <f t="array" aca="1" ref="D442" ca="1">INDIRECT("'Uke "&amp;B442&amp;"'!V"&amp;9+C442)</f>
        <v>#REF!</v>
      </c>
      <c r="E442" s="20" t="e" cm="1">
        <f t="array" aca="1" ref="E442" ca="1">INDIRECT("'Uke "&amp;B442&amp;"'!AB"&amp;9+C442)</f>
        <v>#REF!</v>
      </c>
    </row>
    <row r="443" spans="1:5" x14ac:dyDescent="0.25">
      <c r="A443">
        <f t="shared" si="18"/>
        <v>2822</v>
      </c>
      <c r="B443">
        <f t="shared" si="9"/>
        <v>21</v>
      </c>
      <c r="C443">
        <f t="shared" si="19"/>
        <v>22</v>
      </c>
      <c r="D443" t="e" cm="1">
        <f t="array" aca="1" ref="D443" ca="1">INDIRECT("'Uke "&amp;B443&amp;"'!V"&amp;9+C443)</f>
        <v>#REF!</v>
      </c>
      <c r="E443" s="20" t="e" cm="1">
        <f t="array" aca="1" ref="E443" ca="1">INDIRECT("'Uke "&amp;B443&amp;"'!AB"&amp;9+C443)</f>
        <v>#REF!</v>
      </c>
    </row>
    <row r="444" spans="1:5" x14ac:dyDescent="0.25">
      <c r="A444">
        <f t="shared" si="18"/>
        <v>2823</v>
      </c>
      <c r="B444">
        <f t="shared" si="9"/>
        <v>21</v>
      </c>
      <c r="C444">
        <f t="shared" si="19"/>
        <v>23</v>
      </c>
      <c r="D444" t="e" cm="1">
        <f t="array" aca="1" ref="D444" ca="1">INDIRECT("'Uke "&amp;B444&amp;"'!V"&amp;9+C444)</f>
        <v>#REF!</v>
      </c>
      <c r="E444" s="20" t="e" cm="1">
        <f t="array" aca="1" ref="E444" ca="1">INDIRECT("'Uke "&amp;B444&amp;"'!AB"&amp;9+C444)</f>
        <v>#REF!</v>
      </c>
    </row>
    <row r="445" spans="1:5" x14ac:dyDescent="0.25">
      <c r="A445">
        <f t="shared" si="18"/>
        <v>2824</v>
      </c>
      <c r="B445">
        <f t="shared" si="9"/>
        <v>21</v>
      </c>
      <c r="C445">
        <f t="shared" si="19"/>
        <v>24</v>
      </c>
      <c r="D445" t="e" cm="1">
        <f t="array" aca="1" ref="D445" ca="1">INDIRECT("'Uke "&amp;B445&amp;"'!V"&amp;9+C445)</f>
        <v>#REF!</v>
      </c>
      <c r="E445" s="20" t="e" cm="1">
        <f t="array" aca="1" ref="E445" ca="1">INDIRECT("'Uke "&amp;B445&amp;"'!AB"&amp;9+C445)</f>
        <v>#REF!</v>
      </c>
    </row>
    <row r="446" spans="1:5" x14ac:dyDescent="0.25">
      <c r="A446">
        <f t="shared" si="18"/>
        <v>2825</v>
      </c>
      <c r="B446">
        <f t="shared" si="9"/>
        <v>21</v>
      </c>
      <c r="C446">
        <f t="shared" si="19"/>
        <v>25</v>
      </c>
      <c r="D446" t="e" cm="1">
        <f t="array" aca="1" ref="D446" ca="1">INDIRECT("'Uke "&amp;B446&amp;"'!V"&amp;9+C446)</f>
        <v>#REF!</v>
      </c>
      <c r="E446" s="20" t="e" cm="1">
        <f t="array" aca="1" ref="E446" ca="1">INDIRECT("'Uke "&amp;B446&amp;"'!AB"&amp;9+C446)</f>
        <v>#REF!</v>
      </c>
    </row>
    <row r="447" spans="1:5" x14ac:dyDescent="0.25">
      <c r="A447">
        <f t="shared" si="18"/>
        <v>2826</v>
      </c>
      <c r="B447">
        <f t="shared" si="9"/>
        <v>21</v>
      </c>
      <c r="C447">
        <f t="shared" si="19"/>
        <v>26</v>
      </c>
      <c r="D447" t="e" cm="1">
        <f t="array" aca="1" ref="D447" ca="1">INDIRECT("'Uke "&amp;B447&amp;"'!V"&amp;9+C447)</f>
        <v>#REF!</v>
      </c>
      <c r="E447" s="20" t="e" cm="1">
        <f t="array" aca="1" ref="E447" ca="1">INDIRECT("'Uke "&amp;B447&amp;"'!AB"&amp;9+C447)</f>
        <v>#REF!</v>
      </c>
    </row>
    <row r="448" spans="1:5" x14ac:dyDescent="0.25">
      <c r="A448">
        <f t="shared" si="18"/>
        <v>2827</v>
      </c>
      <c r="B448">
        <f t="shared" si="9"/>
        <v>21</v>
      </c>
      <c r="C448">
        <f t="shared" si="19"/>
        <v>27</v>
      </c>
      <c r="D448" t="e" cm="1">
        <f t="array" aca="1" ref="D448" ca="1">INDIRECT("'Uke "&amp;B448&amp;"'!V"&amp;9+C448)</f>
        <v>#REF!</v>
      </c>
      <c r="E448" s="20" t="e" cm="1">
        <f t="array" aca="1" ref="E448" ca="1">INDIRECT("'Uke "&amp;B448&amp;"'!AB"&amp;9+C448)</f>
        <v>#REF!</v>
      </c>
    </row>
    <row r="449" spans="1:5" x14ac:dyDescent="0.25">
      <c r="A449">
        <f t="shared" si="18"/>
        <v>2828</v>
      </c>
      <c r="B449">
        <f t="shared" si="9"/>
        <v>21</v>
      </c>
      <c r="C449">
        <f t="shared" si="19"/>
        <v>28</v>
      </c>
      <c r="D449" t="e" cm="1">
        <f t="array" aca="1" ref="D449" ca="1">INDIRECT("'Uke "&amp;B449&amp;"'!V"&amp;9+C449)</f>
        <v>#REF!</v>
      </c>
      <c r="E449" s="20" t="e" cm="1">
        <f t="array" aca="1" ref="E449" ca="1">INDIRECT("'Uke "&amp;B449&amp;"'!AB"&amp;9+C449)</f>
        <v>#REF!</v>
      </c>
    </row>
    <row r="450" spans="1:5" x14ac:dyDescent="0.25">
      <c r="A450">
        <f t="shared" si="18"/>
        <v>2829</v>
      </c>
      <c r="B450">
        <f t="shared" ref="B450:B513" si="20">INT((A450-1)/140)+1</f>
        <v>21</v>
      </c>
      <c r="C450">
        <f t="shared" si="19"/>
        <v>29</v>
      </c>
      <c r="D450" t="e" cm="1">
        <f t="array" aca="1" ref="D450" ca="1">INDIRECT("'Uke "&amp;B450&amp;"'!V"&amp;9+C450)</f>
        <v>#REF!</v>
      </c>
      <c r="E450" s="20" t="e" cm="1">
        <f t="array" aca="1" ref="E450" ca="1">INDIRECT("'Uke "&amp;B450&amp;"'!AB"&amp;9+C450)</f>
        <v>#REF!</v>
      </c>
    </row>
    <row r="451" spans="1:5" x14ac:dyDescent="0.25">
      <c r="A451">
        <f t="shared" si="18"/>
        <v>2830</v>
      </c>
      <c r="B451">
        <f t="shared" si="20"/>
        <v>21</v>
      </c>
      <c r="C451">
        <f t="shared" si="19"/>
        <v>30</v>
      </c>
      <c r="D451" t="e" cm="1">
        <f t="array" aca="1" ref="D451" ca="1">INDIRECT("'Uke "&amp;B451&amp;"'!V"&amp;9+C451)</f>
        <v>#REF!</v>
      </c>
      <c r="E451" s="20" t="e" cm="1">
        <f t="array" aca="1" ref="E451" ca="1">INDIRECT("'Uke "&amp;B451&amp;"'!AB"&amp;9+C451)</f>
        <v>#REF!</v>
      </c>
    </row>
    <row r="452" spans="1:5" x14ac:dyDescent="0.25">
      <c r="A452">
        <f t="shared" si="18"/>
        <v>2831</v>
      </c>
      <c r="B452">
        <f t="shared" si="20"/>
        <v>21</v>
      </c>
      <c r="C452">
        <f t="shared" si="19"/>
        <v>31</v>
      </c>
      <c r="D452" t="e" cm="1">
        <f t="array" aca="1" ref="D452" ca="1">INDIRECT("'Uke "&amp;B452&amp;"'!V"&amp;9+C452)</f>
        <v>#REF!</v>
      </c>
      <c r="E452" s="20" t="e" cm="1">
        <f t="array" aca="1" ref="E452" ca="1">INDIRECT("'Uke "&amp;B452&amp;"'!AB"&amp;9+C452)</f>
        <v>#REF!</v>
      </c>
    </row>
    <row r="453" spans="1:5" x14ac:dyDescent="0.25">
      <c r="A453">
        <f t="shared" si="18"/>
        <v>2832</v>
      </c>
      <c r="B453">
        <f t="shared" si="20"/>
        <v>21</v>
      </c>
      <c r="C453">
        <f t="shared" si="19"/>
        <v>32</v>
      </c>
      <c r="D453" t="e" cm="1">
        <f t="array" aca="1" ref="D453" ca="1">INDIRECT("'Uke "&amp;B453&amp;"'!V"&amp;9+C453)</f>
        <v>#REF!</v>
      </c>
      <c r="E453" s="20" t="e" cm="1">
        <f t="array" aca="1" ref="E453" ca="1">INDIRECT("'Uke "&amp;B453&amp;"'!AB"&amp;9+C453)</f>
        <v>#REF!</v>
      </c>
    </row>
    <row r="454" spans="1:5" x14ac:dyDescent="0.25">
      <c r="A454">
        <f t="shared" si="18"/>
        <v>2833</v>
      </c>
      <c r="B454">
        <f t="shared" si="20"/>
        <v>21</v>
      </c>
      <c r="C454">
        <f t="shared" si="19"/>
        <v>33</v>
      </c>
      <c r="D454" t="e" cm="1">
        <f t="array" aca="1" ref="D454" ca="1">INDIRECT("'Uke "&amp;B454&amp;"'!V"&amp;9+C454)</f>
        <v>#REF!</v>
      </c>
      <c r="E454" s="20" t="e" cm="1">
        <f t="array" aca="1" ref="E454" ca="1">INDIRECT("'Uke "&amp;B454&amp;"'!AB"&amp;9+C454)</f>
        <v>#REF!</v>
      </c>
    </row>
    <row r="455" spans="1:5" x14ac:dyDescent="0.25">
      <c r="A455">
        <f t="shared" si="18"/>
        <v>2834</v>
      </c>
      <c r="B455">
        <f t="shared" si="20"/>
        <v>21</v>
      </c>
      <c r="C455">
        <f t="shared" si="19"/>
        <v>34</v>
      </c>
      <c r="D455" t="e" cm="1">
        <f t="array" aca="1" ref="D455" ca="1">INDIRECT("'Uke "&amp;B455&amp;"'!V"&amp;9+C455)</f>
        <v>#REF!</v>
      </c>
      <c r="E455" s="20" t="e" cm="1">
        <f t="array" aca="1" ref="E455" ca="1">INDIRECT("'Uke "&amp;B455&amp;"'!AB"&amp;9+C455)</f>
        <v>#REF!</v>
      </c>
    </row>
    <row r="456" spans="1:5" x14ac:dyDescent="0.25">
      <c r="A456">
        <f t="shared" si="18"/>
        <v>2835</v>
      </c>
      <c r="B456">
        <f t="shared" si="20"/>
        <v>21</v>
      </c>
      <c r="C456">
        <f t="shared" si="19"/>
        <v>35</v>
      </c>
      <c r="D456" t="e" cm="1">
        <f t="array" aca="1" ref="D456" ca="1">INDIRECT("'Uke "&amp;B456&amp;"'!V"&amp;9+C456)</f>
        <v>#REF!</v>
      </c>
      <c r="E456" s="20" t="e" cm="1">
        <f t="array" aca="1" ref="E456" ca="1">INDIRECT("'Uke "&amp;B456&amp;"'!AB"&amp;9+C456)</f>
        <v>#REF!</v>
      </c>
    </row>
    <row r="457" spans="1:5" x14ac:dyDescent="0.25">
      <c r="A457">
        <f t="shared" si="18"/>
        <v>2836</v>
      </c>
      <c r="B457">
        <f t="shared" si="20"/>
        <v>21</v>
      </c>
      <c r="C457">
        <f t="shared" si="19"/>
        <v>36</v>
      </c>
      <c r="D457" t="e" cm="1">
        <f t="array" aca="1" ref="D457" ca="1">INDIRECT("'Uke "&amp;B457&amp;"'!V"&amp;9+C457)</f>
        <v>#REF!</v>
      </c>
      <c r="E457" s="20" t="e" cm="1">
        <f t="array" aca="1" ref="E457" ca="1">INDIRECT("'Uke "&amp;B457&amp;"'!AB"&amp;9+C457)</f>
        <v>#REF!</v>
      </c>
    </row>
    <row r="458" spans="1:5" x14ac:dyDescent="0.25">
      <c r="A458">
        <f t="shared" si="18"/>
        <v>2837</v>
      </c>
      <c r="B458">
        <f t="shared" si="20"/>
        <v>21</v>
      </c>
      <c r="C458">
        <f t="shared" si="19"/>
        <v>37</v>
      </c>
      <c r="D458" t="e" cm="1">
        <f t="array" aca="1" ref="D458" ca="1">INDIRECT("'Uke "&amp;B458&amp;"'!V"&amp;9+C458)</f>
        <v>#REF!</v>
      </c>
      <c r="E458" s="20" t="e" cm="1">
        <f t="array" aca="1" ref="E458" ca="1">INDIRECT("'Uke "&amp;B458&amp;"'!AB"&amp;9+C458)</f>
        <v>#REF!</v>
      </c>
    </row>
    <row r="459" spans="1:5" x14ac:dyDescent="0.25">
      <c r="A459">
        <f t="shared" si="18"/>
        <v>2838</v>
      </c>
      <c r="B459">
        <f t="shared" si="20"/>
        <v>21</v>
      </c>
      <c r="C459">
        <f t="shared" si="19"/>
        <v>38</v>
      </c>
      <c r="D459" t="e" cm="1">
        <f t="array" aca="1" ref="D459" ca="1">INDIRECT("'Uke "&amp;B459&amp;"'!V"&amp;9+C459)</f>
        <v>#REF!</v>
      </c>
      <c r="E459" s="20" t="e" cm="1">
        <f t="array" aca="1" ref="E459" ca="1">INDIRECT("'Uke "&amp;B459&amp;"'!AB"&amp;9+C459)</f>
        <v>#REF!</v>
      </c>
    </row>
    <row r="460" spans="1:5" x14ac:dyDescent="0.25">
      <c r="A460">
        <f t="shared" si="18"/>
        <v>2839</v>
      </c>
      <c r="B460">
        <f t="shared" si="20"/>
        <v>21</v>
      </c>
      <c r="C460">
        <f t="shared" si="19"/>
        <v>39</v>
      </c>
      <c r="D460" t="e" cm="1">
        <f t="array" aca="1" ref="D460" ca="1">INDIRECT("'Uke "&amp;B460&amp;"'!V"&amp;9+C460)</f>
        <v>#REF!</v>
      </c>
      <c r="E460" s="20" t="e" cm="1">
        <f t="array" aca="1" ref="E460" ca="1">INDIRECT("'Uke "&amp;B460&amp;"'!AB"&amp;9+C460)</f>
        <v>#REF!</v>
      </c>
    </row>
    <row r="461" spans="1:5" x14ac:dyDescent="0.25">
      <c r="A461">
        <f t="shared" si="18"/>
        <v>2840</v>
      </c>
      <c r="B461">
        <f t="shared" si="20"/>
        <v>21</v>
      </c>
      <c r="C461">
        <f t="shared" si="19"/>
        <v>40</v>
      </c>
      <c r="D461" t="e" cm="1">
        <f t="array" aca="1" ref="D461" ca="1">INDIRECT("'Uke "&amp;B461&amp;"'!V"&amp;9+C461)</f>
        <v>#REF!</v>
      </c>
      <c r="E461" s="20" t="e" cm="1">
        <f t="array" aca="1" ref="E461" ca="1">INDIRECT("'Uke "&amp;B461&amp;"'!AB"&amp;9+C461)</f>
        <v>#REF!</v>
      </c>
    </row>
    <row r="462" spans="1:5" x14ac:dyDescent="0.25">
      <c r="A462">
        <f t="shared" si="18"/>
        <v>2841</v>
      </c>
      <c r="B462">
        <f t="shared" si="20"/>
        <v>21</v>
      </c>
      <c r="C462">
        <f t="shared" si="19"/>
        <v>41</v>
      </c>
      <c r="D462" t="e" cm="1">
        <f t="array" aca="1" ref="D462" ca="1">INDIRECT("'Uke "&amp;B462&amp;"'!V"&amp;9+C462)</f>
        <v>#REF!</v>
      </c>
      <c r="E462" s="20" t="e" cm="1">
        <f t="array" aca="1" ref="E462" ca="1">INDIRECT("'Uke "&amp;B462&amp;"'!AB"&amp;9+C462)</f>
        <v>#REF!</v>
      </c>
    </row>
    <row r="463" spans="1:5" x14ac:dyDescent="0.25">
      <c r="A463">
        <f t="shared" si="18"/>
        <v>2842</v>
      </c>
      <c r="B463">
        <f t="shared" si="20"/>
        <v>21</v>
      </c>
      <c r="C463">
        <f t="shared" si="19"/>
        <v>42</v>
      </c>
      <c r="D463" t="e" cm="1">
        <f t="array" aca="1" ref="D463" ca="1">INDIRECT("'Uke "&amp;B463&amp;"'!V"&amp;9+C463)</f>
        <v>#REF!</v>
      </c>
      <c r="E463" s="20" t="e" cm="1">
        <f t="array" aca="1" ref="E463" ca="1">INDIRECT("'Uke "&amp;B463&amp;"'!AB"&amp;9+C463)</f>
        <v>#REF!</v>
      </c>
    </row>
    <row r="464" spans="1:5" x14ac:dyDescent="0.25">
      <c r="A464">
        <f t="shared" si="18"/>
        <v>2843</v>
      </c>
      <c r="B464">
        <f t="shared" si="20"/>
        <v>21</v>
      </c>
      <c r="C464">
        <f t="shared" si="19"/>
        <v>43</v>
      </c>
      <c r="D464" t="e" cm="1">
        <f t="array" aca="1" ref="D464" ca="1">INDIRECT("'Uke "&amp;B464&amp;"'!V"&amp;9+C464)</f>
        <v>#REF!</v>
      </c>
      <c r="E464" s="20" t="e" cm="1">
        <f t="array" aca="1" ref="E464" ca="1">INDIRECT("'Uke "&amp;B464&amp;"'!AB"&amp;9+C464)</f>
        <v>#REF!</v>
      </c>
    </row>
    <row r="465" spans="1:5" x14ac:dyDescent="0.25">
      <c r="A465">
        <f t="shared" ref="A465:A528" si="21">A464+1</f>
        <v>2844</v>
      </c>
      <c r="B465">
        <f t="shared" si="20"/>
        <v>21</v>
      </c>
      <c r="C465">
        <f t="shared" ref="C465:C528" si="22">MOD(A465-1,140)+1</f>
        <v>44</v>
      </c>
      <c r="D465" t="e" cm="1">
        <f t="array" aca="1" ref="D465" ca="1">INDIRECT("'Uke "&amp;B465&amp;"'!V"&amp;9+C465)</f>
        <v>#REF!</v>
      </c>
      <c r="E465" s="20" t="e" cm="1">
        <f t="array" aca="1" ref="E465" ca="1">INDIRECT("'Uke "&amp;B465&amp;"'!AB"&amp;9+C465)</f>
        <v>#REF!</v>
      </c>
    </row>
    <row r="466" spans="1:5" x14ac:dyDescent="0.25">
      <c r="A466">
        <f t="shared" si="21"/>
        <v>2845</v>
      </c>
      <c r="B466">
        <f t="shared" si="20"/>
        <v>21</v>
      </c>
      <c r="C466">
        <f t="shared" si="22"/>
        <v>45</v>
      </c>
      <c r="D466" t="e" cm="1">
        <f t="array" aca="1" ref="D466" ca="1">INDIRECT("'Uke "&amp;B466&amp;"'!V"&amp;9+C466)</f>
        <v>#REF!</v>
      </c>
      <c r="E466" s="20" t="e" cm="1">
        <f t="array" aca="1" ref="E466" ca="1">INDIRECT("'Uke "&amp;B466&amp;"'!AB"&amp;9+C466)</f>
        <v>#REF!</v>
      </c>
    </row>
    <row r="467" spans="1:5" x14ac:dyDescent="0.25">
      <c r="A467">
        <f t="shared" si="21"/>
        <v>2846</v>
      </c>
      <c r="B467">
        <f t="shared" si="20"/>
        <v>21</v>
      </c>
      <c r="C467">
        <f t="shared" si="22"/>
        <v>46</v>
      </c>
      <c r="D467" t="e" cm="1">
        <f t="array" aca="1" ref="D467" ca="1">INDIRECT("'Uke "&amp;B467&amp;"'!V"&amp;9+C467)</f>
        <v>#REF!</v>
      </c>
      <c r="E467" s="20" t="e" cm="1">
        <f t="array" aca="1" ref="E467" ca="1">INDIRECT("'Uke "&amp;B467&amp;"'!AB"&amp;9+C467)</f>
        <v>#REF!</v>
      </c>
    </row>
    <row r="468" spans="1:5" x14ac:dyDescent="0.25">
      <c r="A468">
        <f t="shared" si="21"/>
        <v>2847</v>
      </c>
      <c r="B468">
        <f t="shared" si="20"/>
        <v>21</v>
      </c>
      <c r="C468">
        <f t="shared" si="22"/>
        <v>47</v>
      </c>
      <c r="D468" t="e" cm="1">
        <f t="array" aca="1" ref="D468" ca="1">INDIRECT("'Uke "&amp;B468&amp;"'!V"&amp;9+C468)</f>
        <v>#REF!</v>
      </c>
      <c r="E468" s="20" t="e" cm="1">
        <f t="array" aca="1" ref="E468" ca="1">INDIRECT("'Uke "&amp;B468&amp;"'!AB"&amp;9+C468)</f>
        <v>#REF!</v>
      </c>
    </row>
    <row r="469" spans="1:5" x14ac:dyDescent="0.25">
      <c r="A469">
        <f t="shared" si="21"/>
        <v>2848</v>
      </c>
      <c r="B469">
        <f t="shared" si="20"/>
        <v>21</v>
      </c>
      <c r="C469">
        <f t="shared" si="22"/>
        <v>48</v>
      </c>
      <c r="D469" t="e" cm="1">
        <f t="array" aca="1" ref="D469" ca="1">INDIRECT("'Uke "&amp;B469&amp;"'!V"&amp;9+C469)</f>
        <v>#REF!</v>
      </c>
      <c r="E469" s="20" t="e" cm="1">
        <f t="array" aca="1" ref="E469" ca="1">INDIRECT("'Uke "&amp;B469&amp;"'!AB"&amp;9+C469)</f>
        <v>#REF!</v>
      </c>
    </row>
    <row r="470" spans="1:5" x14ac:dyDescent="0.25">
      <c r="A470">
        <f t="shared" si="21"/>
        <v>2849</v>
      </c>
      <c r="B470">
        <f t="shared" si="20"/>
        <v>21</v>
      </c>
      <c r="C470">
        <f t="shared" si="22"/>
        <v>49</v>
      </c>
      <c r="D470" t="e" cm="1">
        <f t="array" aca="1" ref="D470" ca="1">INDIRECT("'Uke "&amp;B470&amp;"'!V"&amp;9+C470)</f>
        <v>#REF!</v>
      </c>
      <c r="E470" s="20" t="e" cm="1">
        <f t="array" aca="1" ref="E470" ca="1">INDIRECT("'Uke "&amp;B470&amp;"'!AB"&amp;9+C470)</f>
        <v>#REF!</v>
      </c>
    </row>
    <row r="471" spans="1:5" x14ac:dyDescent="0.25">
      <c r="A471">
        <f t="shared" si="21"/>
        <v>2850</v>
      </c>
      <c r="B471">
        <f t="shared" si="20"/>
        <v>21</v>
      </c>
      <c r="C471">
        <f t="shared" si="22"/>
        <v>50</v>
      </c>
      <c r="D471" t="e" cm="1">
        <f t="array" aca="1" ref="D471" ca="1">INDIRECT("'Uke "&amp;B471&amp;"'!V"&amp;9+C471)</f>
        <v>#REF!</v>
      </c>
      <c r="E471" s="20" t="e" cm="1">
        <f t="array" aca="1" ref="E471" ca="1">INDIRECT("'Uke "&amp;B471&amp;"'!AB"&amp;9+C471)</f>
        <v>#REF!</v>
      </c>
    </row>
    <row r="472" spans="1:5" x14ac:dyDescent="0.25">
      <c r="A472">
        <f t="shared" si="21"/>
        <v>2851</v>
      </c>
      <c r="B472">
        <f t="shared" si="20"/>
        <v>21</v>
      </c>
      <c r="C472">
        <f t="shared" si="22"/>
        <v>51</v>
      </c>
      <c r="D472" t="e" cm="1">
        <f t="array" aca="1" ref="D472" ca="1">INDIRECT("'Uke "&amp;B472&amp;"'!V"&amp;9+C472)</f>
        <v>#REF!</v>
      </c>
      <c r="E472" s="20" t="e" cm="1">
        <f t="array" aca="1" ref="E472" ca="1">INDIRECT("'Uke "&amp;B472&amp;"'!AB"&amp;9+C472)</f>
        <v>#REF!</v>
      </c>
    </row>
    <row r="473" spans="1:5" x14ac:dyDescent="0.25">
      <c r="A473">
        <f t="shared" si="21"/>
        <v>2852</v>
      </c>
      <c r="B473">
        <f t="shared" si="20"/>
        <v>21</v>
      </c>
      <c r="C473">
        <f t="shared" si="22"/>
        <v>52</v>
      </c>
      <c r="D473" t="e" cm="1">
        <f t="array" aca="1" ref="D473" ca="1">INDIRECT("'Uke "&amp;B473&amp;"'!V"&amp;9+C473)</f>
        <v>#REF!</v>
      </c>
      <c r="E473" s="20" t="e" cm="1">
        <f t="array" aca="1" ref="E473" ca="1">INDIRECT("'Uke "&amp;B473&amp;"'!AB"&amp;9+C473)</f>
        <v>#REF!</v>
      </c>
    </row>
    <row r="474" spans="1:5" x14ac:dyDescent="0.25">
      <c r="A474">
        <f t="shared" si="21"/>
        <v>2853</v>
      </c>
      <c r="B474">
        <f t="shared" si="20"/>
        <v>21</v>
      </c>
      <c r="C474">
        <f t="shared" si="22"/>
        <v>53</v>
      </c>
      <c r="D474" t="e" cm="1">
        <f t="array" aca="1" ref="D474" ca="1">INDIRECT("'Uke "&amp;B474&amp;"'!V"&amp;9+C474)</f>
        <v>#REF!</v>
      </c>
      <c r="E474" s="20" t="e" cm="1">
        <f t="array" aca="1" ref="E474" ca="1">INDIRECT("'Uke "&amp;B474&amp;"'!AB"&amp;9+C474)</f>
        <v>#REF!</v>
      </c>
    </row>
    <row r="475" spans="1:5" x14ac:dyDescent="0.25">
      <c r="A475">
        <f t="shared" si="21"/>
        <v>2854</v>
      </c>
      <c r="B475">
        <f t="shared" si="20"/>
        <v>21</v>
      </c>
      <c r="C475">
        <f t="shared" si="22"/>
        <v>54</v>
      </c>
      <c r="D475" t="e" cm="1">
        <f t="array" aca="1" ref="D475" ca="1">INDIRECT("'Uke "&amp;B475&amp;"'!V"&amp;9+C475)</f>
        <v>#REF!</v>
      </c>
      <c r="E475" s="20" t="e" cm="1">
        <f t="array" aca="1" ref="E475" ca="1">INDIRECT("'Uke "&amp;B475&amp;"'!AB"&amp;9+C475)</f>
        <v>#REF!</v>
      </c>
    </row>
    <row r="476" spans="1:5" x14ac:dyDescent="0.25">
      <c r="A476">
        <f t="shared" si="21"/>
        <v>2855</v>
      </c>
      <c r="B476">
        <f t="shared" si="20"/>
        <v>21</v>
      </c>
      <c r="C476">
        <f t="shared" si="22"/>
        <v>55</v>
      </c>
      <c r="D476" t="e" cm="1">
        <f t="array" aca="1" ref="D476" ca="1">INDIRECT("'Uke "&amp;B476&amp;"'!V"&amp;9+C476)</f>
        <v>#REF!</v>
      </c>
      <c r="E476" s="20" t="e" cm="1">
        <f t="array" aca="1" ref="E476" ca="1">INDIRECT("'Uke "&amp;B476&amp;"'!AB"&amp;9+C476)</f>
        <v>#REF!</v>
      </c>
    </row>
    <row r="477" spans="1:5" x14ac:dyDescent="0.25">
      <c r="A477">
        <f t="shared" si="21"/>
        <v>2856</v>
      </c>
      <c r="B477">
        <f t="shared" si="20"/>
        <v>21</v>
      </c>
      <c r="C477">
        <f t="shared" si="22"/>
        <v>56</v>
      </c>
      <c r="D477" t="e" cm="1">
        <f t="array" aca="1" ref="D477" ca="1">INDIRECT("'Uke "&amp;B477&amp;"'!V"&amp;9+C477)</f>
        <v>#REF!</v>
      </c>
      <c r="E477" s="20" t="e" cm="1">
        <f t="array" aca="1" ref="E477" ca="1">INDIRECT("'Uke "&amp;B477&amp;"'!AB"&amp;9+C477)</f>
        <v>#REF!</v>
      </c>
    </row>
    <row r="478" spans="1:5" x14ac:dyDescent="0.25">
      <c r="A478">
        <f t="shared" si="21"/>
        <v>2857</v>
      </c>
      <c r="B478">
        <f t="shared" si="20"/>
        <v>21</v>
      </c>
      <c r="C478">
        <f t="shared" si="22"/>
        <v>57</v>
      </c>
      <c r="D478" t="e" cm="1">
        <f t="array" aca="1" ref="D478" ca="1">INDIRECT("'Uke "&amp;B478&amp;"'!V"&amp;9+C478)</f>
        <v>#REF!</v>
      </c>
      <c r="E478" s="20" t="e" cm="1">
        <f t="array" aca="1" ref="E478" ca="1">INDIRECT("'Uke "&amp;B478&amp;"'!AB"&amp;9+C478)</f>
        <v>#REF!</v>
      </c>
    </row>
    <row r="479" spans="1:5" x14ac:dyDescent="0.25">
      <c r="A479">
        <f t="shared" si="21"/>
        <v>2858</v>
      </c>
      <c r="B479">
        <f t="shared" si="20"/>
        <v>21</v>
      </c>
      <c r="C479">
        <f t="shared" si="22"/>
        <v>58</v>
      </c>
      <c r="D479" t="e" cm="1">
        <f t="array" aca="1" ref="D479" ca="1">INDIRECT("'Uke "&amp;B479&amp;"'!V"&amp;9+C479)</f>
        <v>#REF!</v>
      </c>
      <c r="E479" s="20" t="e" cm="1">
        <f t="array" aca="1" ref="E479" ca="1">INDIRECT("'Uke "&amp;B479&amp;"'!AB"&amp;9+C479)</f>
        <v>#REF!</v>
      </c>
    </row>
    <row r="480" spans="1:5" x14ac:dyDescent="0.25">
      <c r="A480">
        <f t="shared" si="21"/>
        <v>2859</v>
      </c>
      <c r="B480">
        <f t="shared" si="20"/>
        <v>21</v>
      </c>
      <c r="C480">
        <f t="shared" si="22"/>
        <v>59</v>
      </c>
      <c r="D480" t="e" cm="1">
        <f t="array" aca="1" ref="D480" ca="1">INDIRECT("'Uke "&amp;B480&amp;"'!V"&amp;9+C480)</f>
        <v>#REF!</v>
      </c>
      <c r="E480" s="20" t="e" cm="1">
        <f t="array" aca="1" ref="E480" ca="1">INDIRECT("'Uke "&amp;B480&amp;"'!AB"&amp;9+C480)</f>
        <v>#REF!</v>
      </c>
    </row>
    <row r="481" spans="1:5" x14ac:dyDescent="0.25">
      <c r="A481">
        <f t="shared" si="21"/>
        <v>2860</v>
      </c>
      <c r="B481">
        <f t="shared" si="20"/>
        <v>21</v>
      </c>
      <c r="C481">
        <f t="shared" si="22"/>
        <v>60</v>
      </c>
      <c r="D481" t="e" cm="1">
        <f t="array" aca="1" ref="D481" ca="1">INDIRECT("'Uke "&amp;B481&amp;"'!V"&amp;9+C481)</f>
        <v>#REF!</v>
      </c>
      <c r="E481" s="20" t="e" cm="1">
        <f t="array" aca="1" ref="E481" ca="1">INDIRECT("'Uke "&amp;B481&amp;"'!AB"&amp;9+C481)</f>
        <v>#REF!</v>
      </c>
    </row>
    <row r="482" spans="1:5" x14ac:dyDescent="0.25">
      <c r="A482">
        <f t="shared" si="21"/>
        <v>2861</v>
      </c>
      <c r="B482">
        <f t="shared" si="20"/>
        <v>21</v>
      </c>
      <c r="C482">
        <f t="shared" si="22"/>
        <v>61</v>
      </c>
      <c r="D482" t="e" cm="1">
        <f t="array" aca="1" ref="D482" ca="1">INDIRECT("'Uke "&amp;B482&amp;"'!V"&amp;9+C482)</f>
        <v>#REF!</v>
      </c>
      <c r="E482" s="20" t="e" cm="1">
        <f t="array" aca="1" ref="E482" ca="1">INDIRECT("'Uke "&amp;B482&amp;"'!AB"&amp;9+C482)</f>
        <v>#REF!</v>
      </c>
    </row>
    <row r="483" spans="1:5" x14ac:dyDescent="0.25">
      <c r="A483">
        <f t="shared" si="21"/>
        <v>2862</v>
      </c>
      <c r="B483">
        <f t="shared" si="20"/>
        <v>21</v>
      </c>
      <c r="C483">
        <f t="shared" si="22"/>
        <v>62</v>
      </c>
      <c r="D483" t="e" cm="1">
        <f t="array" aca="1" ref="D483" ca="1">INDIRECT("'Uke "&amp;B483&amp;"'!V"&amp;9+C483)</f>
        <v>#REF!</v>
      </c>
      <c r="E483" s="20" t="e" cm="1">
        <f t="array" aca="1" ref="E483" ca="1">INDIRECT("'Uke "&amp;B483&amp;"'!AB"&amp;9+C483)</f>
        <v>#REF!</v>
      </c>
    </row>
    <row r="484" spans="1:5" x14ac:dyDescent="0.25">
      <c r="A484">
        <f t="shared" si="21"/>
        <v>2863</v>
      </c>
      <c r="B484">
        <f t="shared" si="20"/>
        <v>21</v>
      </c>
      <c r="C484">
        <f t="shared" si="22"/>
        <v>63</v>
      </c>
      <c r="D484" t="e" cm="1">
        <f t="array" aca="1" ref="D484" ca="1">INDIRECT("'Uke "&amp;B484&amp;"'!V"&amp;9+C484)</f>
        <v>#REF!</v>
      </c>
      <c r="E484" s="20" t="e" cm="1">
        <f t="array" aca="1" ref="E484" ca="1">INDIRECT("'Uke "&amp;B484&amp;"'!AB"&amp;9+C484)</f>
        <v>#REF!</v>
      </c>
    </row>
    <row r="485" spans="1:5" x14ac:dyDescent="0.25">
      <c r="A485">
        <f t="shared" si="21"/>
        <v>2864</v>
      </c>
      <c r="B485">
        <f t="shared" si="20"/>
        <v>21</v>
      </c>
      <c r="C485">
        <f t="shared" si="22"/>
        <v>64</v>
      </c>
      <c r="D485" t="e" cm="1">
        <f t="array" aca="1" ref="D485" ca="1">INDIRECT("'Uke "&amp;B485&amp;"'!V"&amp;9+C485)</f>
        <v>#REF!</v>
      </c>
      <c r="E485" s="20" t="e" cm="1">
        <f t="array" aca="1" ref="E485" ca="1">INDIRECT("'Uke "&amp;B485&amp;"'!AB"&amp;9+C485)</f>
        <v>#REF!</v>
      </c>
    </row>
    <row r="486" spans="1:5" x14ac:dyDescent="0.25">
      <c r="A486">
        <f t="shared" si="21"/>
        <v>2865</v>
      </c>
      <c r="B486">
        <f t="shared" si="20"/>
        <v>21</v>
      </c>
      <c r="C486">
        <f t="shared" si="22"/>
        <v>65</v>
      </c>
      <c r="D486" t="e" cm="1">
        <f t="array" aca="1" ref="D486" ca="1">INDIRECT("'Uke "&amp;B486&amp;"'!V"&amp;9+C486)</f>
        <v>#REF!</v>
      </c>
      <c r="E486" s="20" t="e" cm="1">
        <f t="array" aca="1" ref="E486" ca="1">INDIRECT("'Uke "&amp;B486&amp;"'!AB"&amp;9+C486)</f>
        <v>#REF!</v>
      </c>
    </row>
    <row r="487" spans="1:5" x14ac:dyDescent="0.25">
      <c r="A487">
        <f t="shared" si="21"/>
        <v>2866</v>
      </c>
      <c r="B487">
        <f t="shared" si="20"/>
        <v>21</v>
      </c>
      <c r="C487">
        <f t="shared" si="22"/>
        <v>66</v>
      </c>
      <c r="D487" t="e" cm="1">
        <f t="array" aca="1" ref="D487" ca="1">INDIRECT("'Uke "&amp;B487&amp;"'!V"&amp;9+C487)</f>
        <v>#REF!</v>
      </c>
      <c r="E487" s="20" t="e" cm="1">
        <f t="array" aca="1" ref="E487" ca="1">INDIRECT("'Uke "&amp;B487&amp;"'!AB"&amp;9+C487)</f>
        <v>#REF!</v>
      </c>
    </row>
    <row r="488" spans="1:5" x14ac:dyDescent="0.25">
      <c r="A488">
        <f t="shared" si="21"/>
        <v>2867</v>
      </c>
      <c r="B488">
        <f t="shared" si="20"/>
        <v>21</v>
      </c>
      <c r="C488">
        <f t="shared" si="22"/>
        <v>67</v>
      </c>
      <c r="D488" t="e" cm="1">
        <f t="array" aca="1" ref="D488" ca="1">INDIRECT("'Uke "&amp;B488&amp;"'!V"&amp;9+C488)</f>
        <v>#REF!</v>
      </c>
      <c r="E488" s="20" t="e" cm="1">
        <f t="array" aca="1" ref="E488" ca="1">INDIRECT("'Uke "&amp;B488&amp;"'!AB"&amp;9+C488)</f>
        <v>#REF!</v>
      </c>
    </row>
    <row r="489" spans="1:5" x14ac:dyDescent="0.25">
      <c r="A489">
        <f t="shared" si="21"/>
        <v>2868</v>
      </c>
      <c r="B489">
        <f t="shared" si="20"/>
        <v>21</v>
      </c>
      <c r="C489">
        <f t="shared" si="22"/>
        <v>68</v>
      </c>
      <c r="D489" t="e" cm="1">
        <f t="array" aca="1" ref="D489" ca="1">INDIRECT("'Uke "&amp;B489&amp;"'!V"&amp;9+C489)</f>
        <v>#REF!</v>
      </c>
      <c r="E489" s="20" t="e" cm="1">
        <f t="array" aca="1" ref="E489" ca="1">INDIRECT("'Uke "&amp;B489&amp;"'!AB"&amp;9+C489)</f>
        <v>#REF!</v>
      </c>
    </row>
    <row r="490" spans="1:5" x14ac:dyDescent="0.25">
      <c r="A490">
        <f t="shared" si="21"/>
        <v>2869</v>
      </c>
      <c r="B490">
        <f t="shared" si="20"/>
        <v>21</v>
      </c>
      <c r="C490">
        <f t="shared" si="22"/>
        <v>69</v>
      </c>
      <c r="D490" t="e" cm="1">
        <f t="array" aca="1" ref="D490" ca="1">INDIRECT("'Uke "&amp;B490&amp;"'!V"&amp;9+C490)</f>
        <v>#REF!</v>
      </c>
      <c r="E490" s="20" t="e" cm="1">
        <f t="array" aca="1" ref="E490" ca="1">INDIRECT("'Uke "&amp;B490&amp;"'!AB"&amp;9+C490)</f>
        <v>#REF!</v>
      </c>
    </row>
    <row r="491" spans="1:5" x14ac:dyDescent="0.25">
      <c r="A491">
        <f t="shared" si="21"/>
        <v>2870</v>
      </c>
      <c r="B491">
        <f t="shared" si="20"/>
        <v>21</v>
      </c>
      <c r="C491">
        <f t="shared" si="22"/>
        <v>70</v>
      </c>
      <c r="D491" t="e" cm="1">
        <f t="array" aca="1" ref="D491" ca="1">INDIRECT("'Uke "&amp;B491&amp;"'!V"&amp;9+C491)</f>
        <v>#REF!</v>
      </c>
      <c r="E491" s="20" t="e" cm="1">
        <f t="array" aca="1" ref="E491" ca="1">INDIRECT("'Uke "&amp;B491&amp;"'!AB"&amp;9+C491)</f>
        <v>#REF!</v>
      </c>
    </row>
    <row r="492" spans="1:5" x14ac:dyDescent="0.25">
      <c r="A492">
        <f t="shared" si="21"/>
        <v>2871</v>
      </c>
      <c r="B492">
        <f t="shared" si="20"/>
        <v>21</v>
      </c>
      <c r="C492">
        <f t="shared" si="22"/>
        <v>71</v>
      </c>
      <c r="D492" t="e" cm="1">
        <f t="array" aca="1" ref="D492" ca="1">INDIRECT("'Uke "&amp;B492&amp;"'!V"&amp;9+C492)</f>
        <v>#REF!</v>
      </c>
      <c r="E492" s="20" t="e" cm="1">
        <f t="array" aca="1" ref="E492" ca="1">INDIRECT("'Uke "&amp;B492&amp;"'!AB"&amp;9+C492)</f>
        <v>#REF!</v>
      </c>
    </row>
    <row r="493" spans="1:5" x14ac:dyDescent="0.25">
      <c r="A493">
        <f t="shared" si="21"/>
        <v>2872</v>
      </c>
      <c r="B493">
        <f t="shared" si="20"/>
        <v>21</v>
      </c>
      <c r="C493">
        <f t="shared" si="22"/>
        <v>72</v>
      </c>
      <c r="D493" t="e" cm="1">
        <f t="array" aca="1" ref="D493" ca="1">INDIRECT("'Uke "&amp;B493&amp;"'!V"&amp;9+C493)</f>
        <v>#REF!</v>
      </c>
      <c r="E493" s="20" t="e" cm="1">
        <f t="array" aca="1" ref="E493" ca="1">INDIRECT("'Uke "&amp;B493&amp;"'!AB"&amp;9+C493)</f>
        <v>#REF!</v>
      </c>
    </row>
    <row r="494" spans="1:5" x14ac:dyDescent="0.25">
      <c r="A494">
        <f t="shared" si="21"/>
        <v>2873</v>
      </c>
      <c r="B494">
        <f t="shared" si="20"/>
        <v>21</v>
      </c>
      <c r="C494">
        <f t="shared" si="22"/>
        <v>73</v>
      </c>
      <c r="D494" t="e" cm="1">
        <f t="array" aca="1" ref="D494" ca="1">INDIRECT("'Uke "&amp;B494&amp;"'!V"&amp;9+C494)</f>
        <v>#REF!</v>
      </c>
      <c r="E494" s="20" t="e" cm="1">
        <f t="array" aca="1" ref="E494" ca="1">INDIRECT("'Uke "&amp;B494&amp;"'!AB"&amp;9+C494)</f>
        <v>#REF!</v>
      </c>
    </row>
    <row r="495" spans="1:5" x14ac:dyDescent="0.25">
      <c r="A495">
        <f t="shared" si="21"/>
        <v>2874</v>
      </c>
      <c r="B495">
        <f t="shared" si="20"/>
        <v>21</v>
      </c>
      <c r="C495">
        <f t="shared" si="22"/>
        <v>74</v>
      </c>
      <c r="D495" t="e" cm="1">
        <f t="array" aca="1" ref="D495" ca="1">INDIRECT("'Uke "&amp;B495&amp;"'!V"&amp;9+C495)</f>
        <v>#REF!</v>
      </c>
      <c r="E495" s="20" t="e" cm="1">
        <f t="array" aca="1" ref="E495" ca="1">INDIRECT("'Uke "&amp;B495&amp;"'!AB"&amp;9+C495)</f>
        <v>#REF!</v>
      </c>
    </row>
    <row r="496" spans="1:5" x14ac:dyDescent="0.25">
      <c r="A496">
        <f t="shared" si="21"/>
        <v>2875</v>
      </c>
      <c r="B496">
        <f t="shared" si="20"/>
        <v>21</v>
      </c>
      <c r="C496">
        <f t="shared" si="22"/>
        <v>75</v>
      </c>
      <c r="D496" t="e" cm="1">
        <f t="array" aca="1" ref="D496" ca="1">INDIRECT("'Uke "&amp;B496&amp;"'!V"&amp;9+C496)</f>
        <v>#REF!</v>
      </c>
      <c r="E496" s="20" t="e" cm="1">
        <f t="array" aca="1" ref="E496" ca="1">INDIRECT("'Uke "&amp;B496&amp;"'!AB"&amp;9+C496)</f>
        <v>#REF!</v>
      </c>
    </row>
    <row r="497" spans="1:5" x14ac:dyDescent="0.25">
      <c r="A497">
        <f t="shared" si="21"/>
        <v>2876</v>
      </c>
      <c r="B497">
        <f t="shared" si="20"/>
        <v>21</v>
      </c>
      <c r="C497">
        <f t="shared" si="22"/>
        <v>76</v>
      </c>
      <c r="D497" t="e" cm="1">
        <f t="array" aca="1" ref="D497" ca="1">INDIRECT("'Uke "&amp;B497&amp;"'!V"&amp;9+C497)</f>
        <v>#REF!</v>
      </c>
      <c r="E497" s="20" t="e" cm="1">
        <f t="array" aca="1" ref="E497" ca="1">INDIRECT("'Uke "&amp;B497&amp;"'!AB"&amp;9+C497)</f>
        <v>#REF!</v>
      </c>
    </row>
    <row r="498" spans="1:5" x14ac:dyDescent="0.25">
      <c r="A498">
        <f t="shared" si="21"/>
        <v>2877</v>
      </c>
      <c r="B498">
        <f t="shared" si="20"/>
        <v>21</v>
      </c>
      <c r="C498">
        <f t="shared" si="22"/>
        <v>77</v>
      </c>
      <c r="D498" t="e" cm="1">
        <f t="array" aca="1" ref="D498" ca="1">INDIRECT("'Uke "&amp;B498&amp;"'!V"&amp;9+C498)</f>
        <v>#REF!</v>
      </c>
      <c r="E498" s="20" t="e" cm="1">
        <f t="array" aca="1" ref="E498" ca="1">INDIRECT("'Uke "&amp;B498&amp;"'!AB"&amp;9+C498)</f>
        <v>#REF!</v>
      </c>
    </row>
    <row r="499" spans="1:5" x14ac:dyDescent="0.25">
      <c r="A499">
        <f t="shared" si="21"/>
        <v>2878</v>
      </c>
      <c r="B499">
        <f t="shared" si="20"/>
        <v>21</v>
      </c>
      <c r="C499">
        <f t="shared" si="22"/>
        <v>78</v>
      </c>
      <c r="D499" t="e" cm="1">
        <f t="array" aca="1" ref="D499" ca="1">INDIRECT("'Uke "&amp;B499&amp;"'!V"&amp;9+C499)</f>
        <v>#REF!</v>
      </c>
      <c r="E499" s="20" t="e" cm="1">
        <f t="array" aca="1" ref="E499" ca="1">INDIRECT("'Uke "&amp;B499&amp;"'!AB"&amp;9+C499)</f>
        <v>#REF!</v>
      </c>
    </row>
    <row r="500" spans="1:5" x14ac:dyDescent="0.25">
      <c r="A500">
        <f t="shared" si="21"/>
        <v>2879</v>
      </c>
      <c r="B500">
        <f t="shared" si="20"/>
        <v>21</v>
      </c>
      <c r="C500">
        <f t="shared" si="22"/>
        <v>79</v>
      </c>
      <c r="D500" t="e" cm="1">
        <f t="array" aca="1" ref="D500" ca="1">INDIRECT("'Uke "&amp;B500&amp;"'!V"&amp;9+C500)</f>
        <v>#REF!</v>
      </c>
      <c r="E500" s="20" t="e" cm="1">
        <f t="array" aca="1" ref="E500" ca="1">INDIRECT("'Uke "&amp;B500&amp;"'!AB"&amp;9+C500)</f>
        <v>#REF!</v>
      </c>
    </row>
    <row r="501" spans="1:5" x14ac:dyDescent="0.25">
      <c r="A501">
        <f t="shared" si="21"/>
        <v>2880</v>
      </c>
      <c r="B501">
        <f t="shared" si="20"/>
        <v>21</v>
      </c>
      <c r="C501">
        <f t="shared" si="22"/>
        <v>80</v>
      </c>
      <c r="D501" t="e" cm="1">
        <f t="array" aca="1" ref="D501" ca="1">INDIRECT("'Uke "&amp;B501&amp;"'!V"&amp;9+C501)</f>
        <v>#REF!</v>
      </c>
      <c r="E501" s="20" t="e" cm="1">
        <f t="array" aca="1" ref="E501" ca="1">INDIRECT("'Uke "&amp;B501&amp;"'!AB"&amp;9+C501)</f>
        <v>#REF!</v>
      </c>
    </row>
    <row r="502" spans="1:5" x14ac:dyDescent="0.25">
      <c r="A502">
        <f t="shared" si="21"/>
        <v>2881</v>
      </c>
      <c r="B502">
        <f t="shared" si="20"/>
        <v>21</v>
      </c>
      <c r="C502">
        <f t="shared" si="22"/>
        <v>81</v>
      </c>
      <c r="D502" t="e" cm="1">
        <f t="array" aca="1" ref="D502" ca="1">INDIRECT("'Uke "&amp;B502&amp;"'!V"&amp;9+C502)</f>
        <v>#REF!</v>
      </c>
      <c r="E502" s="20" t="e" cm="1">
        <f t="array" aca="1" ref="E502" ca="1">INDIRECT("'Uke "&amp;B502&amp;"'!AB"&amp;9+C502)</f>
        <v>#REF!</v>
      </c>
    </row>
    <row r="503" spans="1:5" x14ac:dyDescent="0.25">
      <c r="A503">
        <f t="shared" si="21"/>
        <v>2882</v>
      </c>
      <c r="B503">
        <f t="shared" si="20"/>
        <v>21</v>
      </c>
      <c r="C503">
        <f t="shared" si="22"/>
        <v>82</v>
      </c>
      <c r="D503" t="e" cm="1">
        <f t="array" aca="1" ref="D503" ca="1">INDIRECT("'Uke "&amp;B503&amp;"'!V"&amp;9+C503)</f>
        <v>#REF!</v>
      </c>
      <c r="E503" s="20" t="e" cm="1">
        <f t="array" aca="1" ref="E503" ca="1">INDIRECT("'Uke "&amp;B503&amp;"'!AB"&amp;9+C503)</f>
        <v>#REF!</v>
      </c>
    </row>
    <row r="504" spans="1:5" x14ac:dyDescent="0.25">
      <c r="A504">
        <f t="shared" si="21"/>
        <v>2883</v>
      </c>
      <c r="B504">
        <f t="shared" si="20"/>
        <v>21</v>
      </c>
      <c r="C504">
        <f t="shared" si="22"/>
        <v>83</v>
      </c>
      <c r="D504" t="e" cm="1">
        <f t="array" aca="1" ref="D504" ca="1">INDIRECT("'Uke "&amp;B504&amp;"'!V"&amp;9+C504)</f>
        <v>#REF!</v>
      </c>
      <c r="E504" s="20" t="e" cm="1">
        <f t="array" aca="1" ref="E504" ca="1">INDIRECT("'Uke "&amp;B504&amp;"'!AB"&amp;9+C504)</f>
        <v>#REF!</v>
      </c>
    </row>
    <row r="505" spans="1:5" x14ac:dyDescent="0.25">
      <c r="A505">
        <f t="shared" si="21"/>
        <v>2884</v>
      </c>
      <c r="B505">
        <f t="shared" si="20"/>
        <v>21</v>
      </c>
      <c r="C505">
        <f t="shared" si="22"/>
        <v>84</v>
      </c>
      <c r="D505" t="e" cm="1">
        <f t="array" aca="1" ref="D505" ca="1">INDIRECT("'Uke "&amp;B505&amp;"'!V"&amp;9+C505)</f>
        <v>#REF!</v>
      </c>
      <c r="E505" s="20" t="e" cm="1">
        <f t="array" aca="1" ref="E505" ca="1">INDIRECT("'Uke "&amp;B505&amp;"'!AB"&amp;9+C505)</f>
        <v>#REF!</v>
      </c>
    </row>
    <row r="506" spans="1:5" x14ac:dyDescent="0.25">
      <c r="A506">
        <f t="shared" si="21"/>
        <v>2885</v>
      </c>
      <c r="B506">
        <f t="shared" si="20"/>
        <v>21</v>
      </c>
      <c r="C506">
        <f t="shared" si="22"/>
        <v>85</v>
      </c>
      <c r="D506" t="e" cm="1">
        <f t="array" aca="1" ref="D506" ca="1">INDIRECT("'Uke "&amp;B506&amp;"'!V"&amp;9+C506)</f>
        <v>#REF!</v>
      </c>
      <c r="E506" s="20" t="e" cm="1">
        <f t="array" aca="1" ref="E506" ca="1">INDIRECT("'Uke "&amp;B506&amp;"'!AB"&amp;9+C506)</f>
        <v>#REF!</v>
      </c>
    </row>
    <row r="507" spans="1:5" x14ac:dyDescent="0.25">
      <c r="A507">
        <f t="shared" si="21"/>
        <v>2886</v>
      </c>
      <c r="B507">
        <f t="shared" si="20"/>
        <v>21</v>
      </c>
      <c r="C507">
        <f t="shared" si="22"/>
        <v>86</v>
      </c>
      <c r="D507" t="e" cm="1">
        <f t="array" aca="1" ref="D507" ca="1">INDIRECT("'Uke "&amp;B507&amp;"'!V"&amp;9+C507)</f>
        <v>#REF!</v>
      </c>
      <c r="E507" s="20" t="e" cm="1">
        <f t="array" aca="1" ref="E507" ca="1">INDIRECT("'Uke "&amp;B507&amp;"'!AB"&amp;9+C507)</f>
        <v>#REF!</v>
      </c>
    </row>
    <row r="508" spans="1:5" x14ac:dyDescent="0.25">
      <c r="A508">
        <f t="shared" si="21"/>
        <v>2887</v>
      </c>
      <c r="B508">
        <f t="shared" si="20"/>
        <v>21</v>
      </c>
      <c r="C508">
        <f t="shared" si="22"/>
        <v>87</v>
      </c>
      <c r="D508" t="e" cm="1">
        <f t="array" aca="1" ref="D508" ca="1">INDIRECT("'Uke "&amp;B508&amp;"'!V"&amp;9+C508)</f>
        <v>#REF!</v>
      </c>
      <c r="E508" s="20" t="e" cm="1">
        <f t="array" aca="1" ref="E508" ca="1">INDIRECT("'Uke "&amp;B508&amp;"'!AB"&amp;9+C508)</f>
        <v>#REF!</v>
      </c>
    </row>
    <row r="509" spans="1:5" x14ac:dyDescent="0.25">
      <c r="A509">
        <f t="shared" si="21"/>
        <v>2888</v>
      </c>
      <c r="B509">
        <f t="shared" si="20"/>
        <v>21</v>
      </c>
      <c r="C509">
        <f t="shared" si="22"/>
        <v>88</v>
      </c>
      <c r="D509" t="e" cm="1">
        <f t="array" aca="1" ref="D509" ca="1">INDIRECT("'Uke "&amp;B509&amp;"'!V"&amp;9+C509)</f>
        <v>#REF!</v>
      </c>
      <c r="E509" s="20" t="e" cm="1">
        <f t="array" aca="1" ref="E509" ca="1">INDIRECT("'Uke "&amp;B509&amp;"'!AB"&amp;9+C509)</f>
        <v>#REF!</v>
      </c>
    </row>
    <row r="510" spans="1:5" x14ac:dyDescent="0.25">
      <c r="A510">
        <f t="shared" si="21"/>
        <v>2889</v>
      </c>
      <c r="B510">
        <f t="shared" si="20"/>
        <v>21</v>
      </c>
      <c r="C510">
        <f t="shared" si="22"/>
        <v>89</v>
      </c>
      <c r="D510" t="e" cm="1">
        <f t="array" aca="1" ref="D510" ca="1">INDIRECT("'Uke "&amp;B510&amp;"'!V"&amp;9+C510)</f>
        <v>#REF!</v>
      </c>
      <c r="E510" s="20" t="e" cm="1">
        <f t="array" aca="1" ref="E510" ca="1">INDIRECT("'Uke "&amp;B510&amp;"'!AB"&amp;9+C510)</f>
        <v>#REF!</v>
      </c>
    </row>
    <row r="511" spans="1:5" x14ac:dyDescent="0.25">
      <c r="A511">
        <f t="shared" si="21"/>
        <v>2890</v>
      </c>
      <c r="B511">
        <f t="shared" si="20"/>
        <v>21</v>
      </c>
      <c r="C511">
        <f t="shared" si="22"/>
        <v>90</v>
      </c>
      <c r="D511" t="e" cm="1">
        <f t="array" aca="1" ref="D511" ca="1">INDIRECT("'Uke "&amp;B511&amp;"'!V"&amp;9+C511)</f>
        <v>#REF!</v>
      </c>
      <c r="E511" s="20" t="e" cm="1">
        <f t="array" aca="1" ref="E511" ca="1">INDIRECT("'Uke "&amp;B511&amp;"'!AB"&amp;9+C511)</f>
        <v>#REF!</v>
      </c>
    </row>
    <row r="512" spans="1:5" x14ac:dyDescent="0.25">
      <c r="A512">
        <f t="shared" si="21"/>
        <v>2891</v>
      </c>
      <c r="B512">
        <f t="shared" si="20"/>
        <v>21</v>
      </c>
      <c r="C512">
        <f t="shared" si="22"/>
        <v>91</v>
      </c>
      <c r="D512" t="e" cm="1">
        <f t="array" aca="1" ref="D512" ca="1">INDIRECT("'Uke "&amp;B512&amp;"'!V"&amp;9+C512)</f>
        <v>#REF!</v>
      </c>
      <c r="E512" s="20" t="e" cm="1">
        <f t="array" aca="1" ref="E512" ca="1">INDIRECT("'Uke "&amp;B512&amp;"'!AB"&amp;9+C512)</f>
        <v>#REF!</v>
      </c>
    </row>
    <row r="513" spans="1:5" x14ac:dyDescent="0.25">
      <c r="A513">
        <f t="shared" si="21"/>
        <v>2892</v>
      </c>
      <c r="B513">
        <f t="shared" si="20"/>
        <v>21</v>
      </c>
      <c r="C513">
        <f t="shared" si="22"/>
        <v>92</v>
      </c>
      <c r="D513" t="e" cm="1">
        <f t="array" aca="1" ref="D513" ca="1">INDIRECT("'Uke "&amp;B513&amp;"'!V"&amp;9+C513)</f>
        <v>#REF!</v>
      </c>
      <c r="E513" s="20" t="e" cm="1">
        <f t="array" aca="1" ref="E513" ca="1">INDIRECT("'Uke "&amp;B513&amp;"'!AB"&amp;9+C513)</f>
        <v>#REF!</v>
      </c>
    </row>
    <row r="514" spans="1:5" x14ac:dyDescent="0.25">
      <c r="A514">
        <f t="shared" si="21"/>
        <v>2893</v>
      </c>
      <c r="B514">
        <f t="shared" ref="B514:B577" si="23">INT((A514-1)/140)+1</f>
        <v>21</v>
      </c>
      <c r="C514">
        <f t="shared" si="22"/>
        <v>93</v>
      </c>
      <c r="D514" t="e" cm="1">
        <f t="array" aca="1" ref="D514" ca="1">INDIRECT("'Uke "&amp;B514&amp;"'!V"&amp;9+C514)</f>
        <v>#REF!</v>
      </c>
      <c r="E514" s="20" t="e" cm="1">
        <f t="array" aca="1" ref="E514" ca="1">INDIRECT("'Uke "&amp;B514&amp;"'!AB"&amp;9+C514)</f>
        <v>#REF!</v>
      </c>
    </row>
    <row r="515" spans="1:5" x14ac:dyDescent="0.25">
      <c r="A515">
        <f t="shared" si="21"/>
        <v>2894</v>
      </c>
      <c r="B515">
        <f t="shared" si="23"/>
        <v>21</v>
      </c>
      <c r="C515">
        <f t="shared" si="22"/>
        <v>94</v>
      </c>
      <c r="D515" t="e" cm="1">
        <f t="array" aca="1" ref="D515" ca="1">INDIRECT("'Uke "&amp;B515&amp;"'!V"&amp;9+C515)</f>
        <v>#REF!</v>
      </c>
      <c r="E515" s="20" t="e" cm="1">
        <f t="array" aca="1" ref="E515" ca="1">INDIRECT("'Uke "&amp;B515&amp;"'!AB"&amp;9+C515)</f>
        <v>#REF!</v>
      </c>
    </row>
    <row r="516" spans="1:5" x14ac:dyDescent="0.25">
      <c r="A516">
        <f t="shared" si="21"/>
        <v>2895</v>
      </c>
      <c r="B516">
        <f t="shared" si="23"/>
        <v>21</v>
      </c>
      <c r="C516">
        <f t="shared" si="22"/>
        <v>95</v>
      </c>
      <c r="D516" t="e" cm="1">
        <f t="array" aca="1" ref="D516" ca="1">INDIRECT("'Uke "&amp;B516&amp;"'!V"&amp;9+C516)</f>
        <v>#REF!</v>
      </c>
      <c r="E516" s="20" t="e" cm="1">
        <f t="array" aca="1" ref="E516" ca="1">INDIRECT("'Uke "&amp;B516&amp;"'!AB"&amp;9+C516)</f>
        <v>#REF!</v>
      </c>
    </row>
    <row r="517" spans="1:5" x14ac:dyDescent="0.25">
      <c r="A517">
        <f t="shared" si="21"/>
        <v>2896</v>
      </c>
      <c r="B517">
        <f t="shared" si="23"/>
        <v>21</v>
      </c>
      <c r="C517">
        <f t="shared" si="22"/>
        <v>96</v>
      </c>
      <c r="D517" t="e" cm="1">
        <f t="array" aca="1" ref="D517" ca="1">INDIRECT("'Uke "&amp;B517&amp;"'!V"&amp;9+C517)</f>
        <v>#REF!</v>
      </c>
      <c r="E517" s="20" t="e" cm="1">
        <f t="array" aca="1" ref="E517" ca="1">INDIRECT("'Uke "&amp;B517&amp;"'!AB"&amp;9+C517)</f>
        <v>#REF!</v>
      </c>
    </row>
    <row r="518" spans="1:5" x14ac:dyDescent="0.25">
      <c r="A518">
        <f t="shared" si="21"/>
        <v>2897</v>
      </c>
      <c r="B518">
        <f t="shared" si="23"/>
        <v>21</v>
      </c>
      <c r="C518">
        <f t="shared" si="22"/>
        <v>97</v>
      </c>
      <c r="D518" t="e" cm="1">
        <f t="array" aca="1" ref="D518" ca="1">INDIRECT("'Uke "&amp;B518&amp;"'!V"&amp;9+C518)</f>
        <v>#REF!</v>
      </c>
      <c r="E518" s="20" t="e" cm="1">
        <f t="array" aca="1" ref="E518" ca="1">INDIRECT("'Uke "&amp;B518&amp;"'!AB"&amp;9+C518)</f>
        <v>#REF!</v>
      </c>
    </row>
    <row r="519" spans="1:5" x14ac:dyDescent="0.25">
      <c r="A519">
        <f t="shared" si="21"/>
        <v>2898</v>
      </c>
      <c r="B519">
        <f t="shared" si="23"/>
        <v>21</v>
      </c>
      <c r="C519">
        <f t="shared" si="22"/>
        <v>98</v>
      </c>
      <c r="D519" t="e" cm="1">
        <f t="array" aca="1" ref="D519" ca="1">INDIRECT("'Uke "&amp;B519&amp;"'!V"&amp;9+C519)</f>
        <v>#REF!</v>
      </c>
      <c r="E519" s="20" t="e" cm="1">
        <f t="array" aca="1" ref="E519" ca="1">INDIRECT("'Uke "&amp;B519&amp;"'!AB"&amp;9+C519)</f>
        <v>#REF!</v>
      </c>
    </row>
    <row r="520" spans="1:5" x14ac:dyDescent="0.25">
      <c r="A520">
        <f t="shared" si="21"/>
        <v>2899</v>
      </c>
      <c r="B520">
        <f t="shared" si="23"/>
        <v>21</v>
      </c>
      <c r="C520">
        <f t="shared" si="22"/>
        <v>99</v>
      </c>
      <c r="D520" t="e" cm="1">
        <f t="array" aca="1" ref="D520" ca="1">INDIRECT("'Uke "&amp;B520&amp;"'!V"&amp;9+C520)</f>
        <v>#REF!</v>
      </c>
      <c r="E520" s="20" t="e" cm="1">
        <f t="array" aca="1" ref="E520" ca="1">INDIRECT("'Uke "&amp;B520&amp;"'!AB"&amp;9+C520)</f>
        <v>#REF!</v>
      </c>
    </row>
    <row r="521" spans="1:5" x14ac:dyDescent="0.25">
      <c r="A521">
        <f t="shared" si="21"/>
        <v>2900</v>
      </c>
      <c r="B521">
        <f t="shared" si="23"/>
        <v>21</v>
      </c>
      <c r="C521">
        <f t="shared" si="22"/>
        <v>100</v>
      </c>
      <c r="D521" t="e" cm="1">
        <f t="array" aca="1" ref="D521" ca="1">INDIRECT("'Uke "&amp;B521&amp;"'!V"&amp;9+C521)</f>
        <v>#REF!</v>
      </c>
      <c r="E521" s="20" t="e" cm="1">
        <f t="array" aca="1" ref="E521" ca="1">INDIRECT("'Uke "&amp;B521&amp;"'!AB"&amp;9+C521)</f>
        <v>#REF!</v>
      </c>
    </row>
    <row r="522" spans="1:5" x14ac:dyDescent="0.25">
      <c r="A522">
        <f t="shared" si="21"/>
        <v>2901</v>
      </c>
      <c r="B522">
        <f t="shared" si="23"/>
        <v>21</v>
      </c>
      <c r="C522">
        <f t="shared" si="22"/>
        <v>101</v>
      </c>
      <c r="D522" t="e" cm="1">
        <f t="array" aca="1" ref="D522" ca="1">INDIRECT("'Uke "&amp;B522&amp;"'!V"&amp;9+C522)</f>
        <v>#REF!</v>
      </c>
      <c r="E522" s="20" t="e" cm="1">
        <f t="array" aca="1" ref="E522" ca="1">INDIRECT("'Uke "&amp;B522&amp;"'!AB"&amp;9+C522)</f>
        <v>#REF!</v>
      </c>
    </row>
    <row r="523" spans="1:5" x14ac:dyDescent="0.25">
      <c r="A523">
        <f t="shared" si="21"/>
        <v>2902</v>
      </c>
      <c r="B523">
        <f t="shared" si="23"/>
        <v>21</v>
      </c>
      <c r="C523">
        <f t="shared" si="22"/>
        <v>102</v>
      </c>
      <c r="D523" t="e" cm="1">
        <f t="array" aca="1" ref="D523" ca="1">INDIRECT("'Uke "&amp;B523&amp;"'!V"&amp;9+C523)</f>
        <v>#REF!</v>
      </c>
      <c r="E523" s="20" t="e" cm="1">
        <f t="array" aca="1" ref="E523" ca="1">INDIRECT("'Uke "&amp;B523&amp;"'!AB"&amp;9+C523)</f>
        <v>#REF!</v>
      </c>
    </row>
    <row r="524" spans="1:5" x14ac:dyDescent="0.25">
      <c r="A524">
        <f t="shared" si="21"/>
        <v>2903</v>
      </c>
      <c r="B524">
        <f t="shared" si="23"/>
        <v>21</v>
      </c>
      <c r="C524">
        <f t="shared" si="22"/>
        <v>103</v>
      </c>
      <c r="D524" t="e" cm="1">
        <f t="array" aca="1" ref="D524" ca="1">INDIRECT("'Uke "&amp;B524&amp;"'!V"&amp;9+C524)</f>
        <v>#REF!</v>
      </c>
      <c r="E524" s="20" t="e" cm="1">
        <f t="array" aca="1" ref="E524" ca="1">INDIRECT("'Uke "&amp;B524&amp;"'!AB"&amp;9+C524)</f>
        <v>#REF!</v>
      </c>
    </row>
    <row r="525" spans="1:5" x14ac:dyDescent="0.25">
      <c r="A525">
        <f t="shared" si="21"/>
        <v>2904</v>
      </c>
      <c r="B525">
        <f t="shared" si="23"/>
        <v>21</v>
      </c>
      <c r="C525">
        <f t="shared" si="22"/>
        <v>104</v>
      </c>
      <c r="D525" t="e" cm="1">
        <f t="array" aca="1" ref="D525" ca="1">INDIRECT("'Uke "&amp;B525&amp;"'!V"&amp;9+C525)</f>
        <v>#REF!</v>
      </c>
      <c r="E525" s="20" t="e" cm="1">
        <f t="array" aca="1" ref="E525" ca="1">INDIRECT("'Uke "&amp;B525&amp;"'!AB"&amp;9+C525)</f>
        <v>#REF!</v>
      </c>
    </row>
    <row r="526" spans="1:5" x14ac:dyDescent="0.25">
      <c r="A526">
        <f t="shared" si="21"/>
        <v>2905</v>
      </c>
      <c r="B526">
        <f t="shared" si="23"/>
        <v>21</v>
      </c>
      <c r="C526">
        <f t="shared" si="22"/>
        <v>105</v>
      </c>
      <c r="D526" t="e" cm="1">
        <f t="array" aca="1" ref="D526" ca="1">INDIRECT("'Uke "&amp;B526&amp;"'!V"&amp;9+C526)</f>
        <v>#REF!</v>
      </c>
      <c r="E526" s="20" t="e" cm="1">
        <f t="array" aca="1" ref="E526" ca="1">INDIRECT("'Uke "&amp;B526&amp;"'!AB"&amp;9+C526)</f>
        <v>#REF!</v>
      </c>
    </row>
    <row r="527" spans="1:5" x14ac:dyDescent="0.25">
      <c r="A527">
        <f t="shared" si="21"/>
        <v>2906</v>
      </c>
      <c r="B527">
        <f t="shared" si="23"/>
        <v>21</v>
      </c>
      <c r="C527">
        <f t="shared" si="22"/>
        <v>106</v>
      </c>
      <c r="D527" t="e" cm="1">
        <f t="array" aca="1" ref="D527" ca="1">INDIRECT("'Uke "&amp;B527&amp;"'!V"&amp;9+C527)</f>
        <v>#REF!</v>
      </c>
      <c r="E527" s="20" t="e" cm="1">
        <f t="array" aca="1" ref="E527" ca="1">INDIRECT("'Uke "&amp;B527&amp;"'!AB"&amp;9+C527)</f>
        <v>#REF!</v>
      </c>
    </row>
    <row r="528" spans="1:5" x14ac:dyDescent="0.25">
      <c r="A528">
        <f t="shared" si="21"/>
        <v>2907</v>
      </c>
      <c r="B528">
        <f t="shared" si="23"/>
        <v>21</v>
      </c>
      <c r="C528">
        <f t="shared" si="22"/>
        <v>107</v>
      </c>
      <c r="D528" t="e" cm="1">
        <f t="array" aca="1" ref="D528" ca="1">INDIRECT("'Uke "&amp;B528&amp;"'!V"&amp;9+C528)</f>
        <v>#REF!</v>
      </c>
      <c r="E528" s="20" t="e" cm="1">
        <f t="array" aca="1" ref="E528" ca="1">INDIRECT("'Uke "&amp;B528&amp;"'!AB"&amp;9+C528)</f>
        <v>#REF!</v>
      </c>
    </row>
    <row r="529" spans="1:5" x14ac:dyDescent="0.25">
      <c r="A529">
        <f t="shared" ref="A529:A592" si="24">A528+1</f>
        <v>2908</v>
      </c>
      <c r="B529">
        <f t="shared" si="23"/>
        <v>21</v>
      </c>
      <c r="C529">
        <f t="shared" ref="C529:C592" si="25">MOD(A529-1,140)+1</f>
        <v>108</v>
      </c>
      <c r="D529" t="e" cm="1">
        <f t="array" aca="1" ref="D529" ca="1">INDIRECT("'Uke "&amp;B529&amp;"'!V"&amp;9+C529)</f>
        <v>#REF!</v>
      </c>
      <c r="E529" s="20" t="e" cm="1">
        <f t="array" aca="1" ref="E529" ca="1">INDIRECT("'Uke "&amp;B529&amp;"'!AB"&amp;9+C529)</f>
        <v>#REF!</v>
      </c>
    </row>
    <row r="530" spans="1:5" x14ac:dyDescent="0.25">
      <c r="A530">
        <f t="shared" si="24"/>
        <v>2909</v>
      </c>
      <c r="B530">
        <f t="shared" si="23"/>
        <v>21</v>
      </c>
      <c r="C530">
        <f t="shared" si="25"/>
        <v>109</v>
      </c>
      <c r="D530" t="e" cm="1">
        <f t="array" aca="1" ref="D530" ca="1">INDIRECT("'Uke "&amp;B530&amp;"'!V"&amp;9+C530)</f>
        <v>#REF!</v>
      </c>
      <c r="E530" s="20" t="e" cm="1">
        <f t="array" aca="1" ref="E530" ca="1">INDIRECT("'Uke "&amp;B530&amp;"'!AB"&amp;9+C530)</f>
        <v>#REF!</v>
      </c>
    </row>
    <row r="531" spans="1:5" x14ac:dyDescent="0.25">
      <c r="A531">
        <f t="shared" si="24"/>
        <v>2910</v>
      </c>
      <c r="B531">
        <f t="shared" si="23"/>
        <v>21</v>
      </c>
      <c r="C531">
        <f t="shared" si="25"/>
        <v>110</v>
      </c>
      <c r="D531" t="e" cm="1">
        <f t="array" aca="1" ref="D531" ca="1">INDIRECT("'Uke "&amp;B531&amp;"'!V"&amp;9+C531)</f>
        <v>#REF!</v>
      </c>
      <c r="E531" s="20" t="e" cm="1">
        <f t="array" aca="1" ref="E531" ca="1">INDIRECT("'Uke "&amp;B531&amp;"'!AB"&amp;9+C531)</f>
        <v>#REF!</v>
      </c>
    </row>
    <row r="532" spans="1:5" x14ac:dyDescent="0.25">
      <c r="A532">
        <f t="shared" si="24"/>
        <v>2911</v>
      </c>
      <c r="B532">
        <f t="shared" si="23"/>
        <v>21</v>
      </c>
      <c r="C532">
        <f t="shared" si="25"/>
        <v>111</v>
      </c>
      <c r="D532" t="e" cm="1">
        <f t="array" aca="1" ref="D532" ca="1">INDIRECT("'Uke "&amp;B532&amp;"'!V"&amp;9+C532)</f>
        <v>#REF!</v>
      </c>
      <c r="E532" s="20" t="e" cm="1">
        <f t="array" aca="1" ref="E532" ca="1">INDIRECT("'Uke "&amp;B532&amp;"'!AB"&amp;9+C532)</f>
        <v>#REF!</v>
      </c>
    </row>
    <row r="533" spans="1:5" x14ac:dyDescent="0.25">
      <c r="A533">
        <f t="shared" si="24"/>
        <v>2912</v>
      </c>
      <c r="B533">
        <f t="shared" si="23"/>
        <v>21</v>
      </c>
      <c r="C533">
        <f t="shared" si="25"/>
        <v>112</v>
      </c>
      <c r="D533" t="e" cm="1">
        <f t="array" aca="1" ref="D533" ca="1">INDIRECT("'Uke "&amp;B533&amp;"'!V"&amp;9+C533)</f>
        <v>#REF!</v>
      </c>
      <c r="E533" s="20" t="e" cm="1">
        <f t="array" aca="1" ref="E533" ca="1">INDIRECT("'Uke "&amp;B533&amp;"'!AB"&amp;9+C533)</f>
        <v>#REF!</v>
      </c>
    </row>
    <row r="534" spans="1:5" x14ac:dyDescent="0.25">
      <c r="A534">
        <f t="shared" si="24"/>
        <v>2913</v>
      </c>
      <c r="B534">
        <f t="shared" si="23"/>
        <v>21</v>
      </c>
      <c r="C534">
        <f t="shared" si="25"/>
        <v>113</v>
      </c>
      <c r="D534" t="e" cm="1">
        <f t="array" aca="1" ref="D534" ca="1">INDIRECT("'Uke "&amp;B534&amp;"'!V"&amp;9+C534)</f>
        <v>#REF!</v>
      </c>
      <c r="E534" s="20" t="e" cm="1">
        <f t="array" aca="1" ref="E534" ca="1">INDIRECT("'Uke "&amp;B534&amp;"'!AB"&amp;9+C534)</f>
        <v>#REF!</v>
      </c>
    </row>
    <row r="535" spans="1:5" x14ac:dyDescent="0.25">
      <c r="A535">
        <f t="shared" si="24"/>
        <v>2914</v>
      </c>
      <c r="B535">
        <f t="shared" si="23"/>
        <v>21</v>
      </c>
      <c r="C535">
        <f t="shared" si="25"/>
        <v>114</v>
      </c>
      <c r="D535" t="e" cm="1">
        <f t="array" aca="1" ref="D535" ca="1">INDIRECT("'Uke "&amp;B535&amp;"'!V"&amp;9+C535)</f>
        <v>#REF!</v>
      </c>
      <c r="E535" s="20" t="e" cm="1">
        <f t="array" aca="1" ref="E535" ca="1">INDIRECT("'Uke "&amp;B535&amp;"'!AB"&amp;9+C535)</f>
        <v>#REF!</v>
      </c>
    </row>
    <row r="536" spans="1:5" x14ac:dyDescent="0.25">
      <c r="A536">
        <f t="shared" si="24"/>
        <v>2915</v>
      </c>
      <c r="B536">
        <f t="shared" si="23"/>
        <v>21</v>
      </c>
      <c r="C536">
        <f t="shared" si="25"/>
        <v>115</v>
      </c>
      <c r="D536" t="e" cm="1">
        <f t="array" aca="1" ref="D536" ca="1">INDIRECT("'Uke "&amp;B536&amp;"'!V"&amp;9+C536)</f>
        <v>#REF!</v>
      </c>
      <c r="E536" s="20" t="e" cm="1">
        <f t="array" aca="1" ref="E536" ca="1">INDIRECT("'Uke "&amp;B536&amp;"'!AB"&amp;9+C536)</f>
        <v>#REF!</v>
      </c>
    </row>
    <row r="537" spans="1:5" x14ac:dyDescent="0.25">
      <c r="A537">
        <f t="shared" si="24"/>
        <v>2916</v>
      </c>
      <c r="B537">
        <f t="shared" si="23"/>
        <v>21</v>
      </c>
      <c r="C537">
        <f t="shared" si="25"/>
        <v>116</v>
      </c>
      <c r="D537" t="e" cm="1">
        <f t="array" aca="1" ref="D537" ca="1">INDIRECT("'Uke "&amp;B537&amp;"'!V"&amp;9+C537)</f>
        <v>#REF!</v>
      </c>
      <c r="E537" s="20" t="e" cm="1">
        <f t="array" aca="1" ref="E537" ca="1">INDIRECT("'Uke "&amp;B537&amp;"'!AB"&amp;9+C537)</f>
        <v>#REF!</v>
      </c>
    </row>
    <row r="538" spans="1:5" x14ac:dyDescent="0.25">
      <c r="A538">
        <f t="shared" si="24"/>
        <v>2917</v>
      </c>
      <c r="B538">
        <f t="shared" si="23"/>
        <v>21</v>
      </c>
      <c r="C538">
        <f t="shared" si="25"/>
        <v>117</v>
      </c>
      <c r="D538" t="e" cm="1">
        <f t="array" aca="1" ref="D538" ca="1">INDIRECT("'Uke "&amp;B538&amp;"'!V"&amp;9+C538)</f>
        <v>#REF!</v>
      </c>
      <c r="E538" s="20" t="e" cm="1">
        <f t="array" aca="1" ref="E538" ca="1">INDIRECT("'Uke "&amp;B538&amp;"'!AB"&amp;9+C538)</f>
        <v>#REF!</v>
      </c>
    </row>
    <row r="539" spans="1:5" x14ac:dyDescent="0.25">
      <c r="A539">
        <f t="shared" si="24"/>
        <v>2918</v>
      </c>
      <c r="B539">
        <f t="shared" si="23"/>
        <v>21</v>
      </c>
      <c r="C539">
        <f t="shared" si="25"/>
        <v>118</v>
      </c>
      <c r="D539" t="e" cm="1">
        <f t="array" aca="1" ref="D539" ca="1">INDIRECT("'Uke "&amp;B539&amp;"'!V"&amp;9+C539)</f>
        <v>#REF!</v>
      </c>
      <c r="E539" s="20" t="e" cm="1">
        <f t="array" aca="1" ref="E539" ca="1">INDIRECT("'Uke "&amp;B539&amp;"'!AB"&amp;9+C539)</f>
        <v>#REF!</v>
      </c>
    </row>
    <row r="540" spans="1:5" x14ac:dyDescent="0.25">
      <c r="A540">
        <f t="shared" si="24"/>
        <v>2919</v>
      </c>
      <c r="B540">
        <f t="shared" si="23"/>
        <v>21</v>
      </c>
      <c r="C540">
        <f t="shared" si="25"/>
        <v>119</v>
      </c>
      <c r="D540" t="e" cm="1">
        <f t="array" aca="1" ref="D540" ca="1">INDIRECT("'Uke "&amp;B540&amp;"'!V"&amp;9+C540)</f>
        <v>#REF!</v>
      </c>
      <c r="E540" s="20" t="e" cm="1">
        <f t="array" aca="1" ref="E540" ca="1">INDIRECT("'Uke "&amp;B540&amp;"'!AB"&amp;9+C540)</f>
        <v>#REF!</v>
      </c>
    </row>
    <row r="541" spans="1:5" x14ac:dyDescent="0.25">
      <c r="A541">
        <f t="shared" si="24"/>
        <v>2920</v>
      </c>
      <c r="B541">
        <f t="shared" si="23"/>
        <v>21</v>
      </c>
      <c r="C541">
        <f t="shared" si="25"/>
        <v>120</v>
      </c>
      <c r="D541" t="e" cm="1">
        <f t="array" aca="1" ref="D541" ca="1">INDIRECT("'Uke "&amp;B541&amp;"'!V"&amp;9+C541)</f>
        <v>#REF!</v>
      </c>
      <c r="E541" s="20" t="e" cm="1">
        <f t="array" aca="1" ref="E541" ca="1">INDIRECT("'Uke "&amp;B541&amp;"'!AB"&amp;9+C541)</f>
        <v>#REF!</v>
      </c>
    </row>
    <row r="542" spans="1:5" x14ac:dyDescent="0.25">
      <c r="A542">
        <f t="shared" si="24"/>
        <v>2921</v>
      </c>
      <c r="B542">
        <f t="shared" si="23"/>
        <v>21</v>
      </c>
      <c r="C542">
        <f t="shared" si="25"/>
        <v>121</v>
      </c>
      <c r="D542" t="e" cm="1">
        <f t="array" aca="1" ref="D542" ca="1">INDIRECT("'Uke "&amp;B542&amp;"'!V"&amp;9+C542)</f>
        <v>#REF!</v>
      </c>
      <c r="E542" s="20" t="e" cm="1">
        <f t="array" aca="1" ref="E542" ca="1">INDIRECT("'Uke "&amp;B542&amp;"'!AB"&amp;9+C542)</f>
        <v>#REF!</v>
      </c>
    </row>
    <row r="543" spans="1:5" x14ac:dyDescent="0.25">
      <c r="A543">
        <f t="shared" si="24"/>
        <v>2922</v>
      </c>
      <c r="B543">
        <f t="shared" si="23"/>
        <v>21</v>
      </c>
      <c r="C543">
        <f t="shared" si="25"/>
        <v>122</v>
      </c>
      <c r="D543" t="e" cm="1">
        <f t="array" aca="1" ref="D543" ca="1">INDIRECT("'Uke "&amp;B543&amp;"'!V"&amp;9+C543)</f>
        <v>#REF!</v>
      </c>
      <c r="E543" s="20" t="e" cm="1">
        <f t="array" aca="1" ref="E543" ca="1">INDIRECT("'Uke "&amp;B543&amp;"'!AB"&amp;9+C543)</f>
        <v>#REF!</v>
      </c>
    </row>
    <row r="544" spans="1:5" x14ac:dyDescent="0.25">
      <c r="A544">
        <f t="shared" si="24"/>
        <v>2923</v>
      </c>
      <c r="B544">
        <f t="shared" si="23"/>
        <v>21</v>
      </c>
      <c r="C544">
        <f t="shared" si="25"/>
        <v>123</v>
      </c>
      <c r="D544" t="e" cm="1">
        <f t="array" aca="1" ref="D544" ca="1">INDIRECT("'Uke "&amp;B544&amp;"'!V"&amp;9+C544)</f>
        <v>#REF!</v>
      </c>
      <c r="E544" s="20" t="e" cm="1">
        <f t="array" aca="1" ref="E544" ca="1">INDIRECT("'Uke "&amp;B544&amp;"'!AB"&amp;9+C544)</f>
        <v>#REF!</v>
      </c>
    </row>
    <row r="545" spans="1:5" x14ac:dyDescent="0.25">
      <c r="A545">
        <f t="shared" si="24"/>
        <v>2924</v>
      </c>
      <c r="B545">
        <f t="shared" si="23"/>
        <v>21</v>
      </c>
      <c r="C545">
        <f t="shared" si="25"/>
        <v>124</v>
      </c>
      <c r="D545" t="e" cm="1">
        <f t="array" aca="1" ref="D545" ca="1">INDIRECT("'Uke "&amp;B545&amp;"'!V"&amp;9+C545)</f>
        <v>#REF!</v>
      </c>
      <c r="E545" s="20" t="e" cm="1">
        <f t="array" aca="1" ref="E545" ca="1">INDIRECT("'Uke "&amp;B545&amp;"'!AB"&amp;9+C545)</f>
        <v>#REF!</v>
      </c>
    </row>
    <row r="546" spans="1:5" x14ac:dyDescent="0.25">
      <c r="A546">
        <f t="shared" si="24"/>
        <v>2925</v>
      </c>
      <c r="B546">
        <f t="shared" si="23"/>
        <v>21</v>
      </c>
      <c r="C546">
        <f t="shared" si="25"/>
        <v>125</v>
      </c>
      <c r="D546" t="e" cm="1">
        <f t="array" aca="1" ref="D546" ca="1">INDIRECT("'Uke "&amp;B546&amp;"'!V"&amp;9+C546)</f>
        <v>#REF!</v>
      </c>
      <c r="E546" s="20" t="e" cm="1">
        <f t="array" aca="1" ref="E546" ca="1">INDIRECT("'Uke "&amp;B546&amp;"'!AB"&amp;9+C546)</f>
        <v>#REF!</v>
      </c>
    </row>
    <row r="547" spans="1:5" x14ac:dyDescent="0.25">
      <c r="A547">
        <f t="shared" si="24"/>
        <v>2926</v>
      </c>
      <c r="B547">
        <f t="shared" si="23"/>
        <v>21</v>
      </c>
      <c r="C547">
        <f t="shared" si="25"/>
        <v>126</v>
      </c>
      <c r="D547" t="e" cm="1">
        <f t="array" aca="1" ref="D547" ca="1">INDIRECT("'Uke "&amp;B547&amp;"'!V"&amp;9+C547)</f>
        <v>#REF!</v>
      </c>
      <c r="E547" s="20" t="e" cm="1">
        <f t="array" aca="1" ref="E547" ca="1">INDIRECT("'Uke "&amp;B547&amp;"'!AB"&amp;9+C547)</f>
        <v>#REF!</v>
      </c>
    </row>
    <row r="548" spans="1:5" x14ac:dyDescent="0.25">
      <c r="A548">
        <f t="shared" si="24"/>
        <v>2927</v>
      </c>
      <c r="B548">
        <f t="shared" si="23"/>
        <v>21</v>
      </c>
      <c r="C548">
        <f t="shared" si="25"/>
        <v>127</v>
      </c>
      <c r="D548" t="e" cm="1">
        <f t="array" aca="1" ref="D548" ca="1">INDIRECT("'Uke "&amp;B548&amp;"'!V"&amp;9+C548)</f>
        <v>#REF!</v>
      </c>
      <c r="E548" s="20" t="e" cm="1">
        <f t="array" aca="1" ref="E548" ca="1">INDIRECT("'Uke "&amp;B548&amp;"'!AB"&amp;9+C548)</f>
        <v>#REF!</v>
      </c>
    </row>
    <row r="549" spans="1:5" x14ac:dyDescent="0.25">
      <c r="A549">
        <f t="shared" si="24"/>
        <v>2928</v>
      </c>
      <c r="B549">
        <f t="shared" si="23"/>
        <v>21</v>
      </c>
      <c r="C549">
        <f t="shared" si="25"/>
        <v>128</v>
      </c>
      <c r="D549" t="e" cm="1">
        <f t="array" aca="1" ref="D549" ca="1">INDIRECT("'Uke "&amp;B549&amp;"'!V"&amp;9+C549)</f>
        <v>#REF!</v>
      </c>
      <c r="E549" s="20" t="e" cm="1">
        <f t="array" aca="1" ref="E549" ca="1">INDIRECT("'Uke "&amp;B549&amp;"'!AB"&amp;9+C549)</f>
        <v>#REF!</v>
      </c>
    </row>
    <row r="550" spans="1:5" x14ac:dyDescent="0.25">
      <c r="A550">
        <f t="shared" si="24"/>
        <v>2929</v>
      </c>
      <c r="B550">
        <f t="shared" si="23"/>
        <v>21</v>
      </c>
      <c r="C550">
        <f t="shared" si="25"/>
        <v>129</v>
      </c>
      <c r="D550" t="e" cm="1">
        <f t="array" aca="1" ref="D550" ca="1">INDIRECT("'Uke "&amp;B550&amp;"'!V"&amp;9+C550)</f>
        <v>#REF!</v>
      </c>
      <c r="E550" s="20" t="e" cm="1">
        <f t="array" aca="1" ref="E550" ca="1">INDIRECT("'Uke "&amp;B550&amp;"'!AB"&amp;9+C550)</f>
        <v>#REF!</v>
      </c>
    </row>
    <row r="551" spans="1:5" x14ac:dyDescent="0.25">
      <c r="A551">
        <f t="shared" si="24"/>
        <v>2930</v>
      </c>
      <c r="B551">
        <f t="shared" si="23"/>
        <v>21</v>
      </c>
      <c r="C551">
        <f t="shared" si="25"/>
        <v>130</v>
      </c>
      <c r="D551" t="e" cm="1">
        <f t="array" aca="1" ref="D551" ca="1">INDIRECT("'Uke "&amp;B551&amp;"'!V"&amp;9+C551)</f>
        <v>#REF!</v>
      </c>
      <c r="E551" s="20" t="e" cm="1">
        <f t="array" aca="1" ref="E551" ca="1">INDIRECT("'Uke "&amp;B551&amp;"'!AB"&amp;9+C551)</f>
        <v>#REF!</v>
      </c>
    </row>
    <row r="552" spans="1:5" x14ac:dyDescent="0.25">
      <c r="A552">
        <f t="shared" si="24"/>
        <v>2931</v>
      </c>
      <c r="B552">
        <f t="shared" si="23"/>
        <v>21</v>
      </c>
      <c r="C552">
        <f t="shared" si="25"/>
        <v>131</v>
      </c>
      <c r="D552" t="e" cm="1">
        <f t="array" aca="1" ref="D552" ca="1">INDIRECT("'Uke "&amp;B552&amp;"'!V"&amp;9+C552)</f>
        <v>#REF!</v>
      </c>
      <c r="E552" s="20" t="e" cm="1">
        <f t="array" aca="1" ref="E552" ca="1">INDIRECT("'Uke "&amp;B552&amp;"'!AB"&amp;9+C552)</f>
        <v>#REF!</v>
      </c>
    </row>
    <row r="553" spans="1:5" x14ac:dyDescent="0.25">
      <c r="A553">
        <f t="shared" si="24"/>
        <v>2932</v>
      </c>
      <c r="B553">
        <f t="shared" si="23"/>
        <v>21</v>
      </c>
      <c r="C553">
        <f t="shared" si="25"/>
        <v>132</v>
      </c>
      <c r="D553" t="e" cm="1">
        <f t="array" aca="1" ref="D553" ca="1">INDIRECT("'Uke "&amp;B553&amp;"'!V"&amp;9+C553)</f>
        <v>#REF!</v>
      </c>
      <c r="E553" s="20" t="e" cm="1">
        <f t="array" aca="1" ref="E553" ca="1">INDIRECT("'Uke "&amp;B553&amp;"'!AB"&amp;9+C553)</f>
        <v>#REF!</v>
      </c>
    </row>
    <row r="554" spans="1:5" x14ac:dyDescent="0.25">
      <c r="A554">
        <f t="shared" si="24"/>
        <v>2933</v>
      </c>
      <c r="B554">
        <f t="shared" si="23"/>
        <v>21</v>
      </c>
      <c r="C554">
        <f t="shared" si="25"/>
        <v>133</v>
      </c>
      <c r="D554" t="e" cm="1">
        <f t="array" aca="1" ref="D554" ca="1">INDIRECT("'Uke "&amp;B554&amp;"'!V"&amp;9+C554)</f>
        <v>#REF!</v>
      </c>
      <c r="E554" s="20" t="e" cm="1">
        <f t="array" aca="1" ref="E554" ca="1">INDIRECT("'Uke "&amp;B554&amp;"'!AB"&amp;9+C554)</f>
        <v>#REF!</v>
      </c>
    </row>
    <row r="555" spans="1:5" x14ac:dyDescent="0.25">
      <c r="A555">
        <f t="shared" si="24"/>
        <v>2934</v>
      </c>
      <c r="B555">
        <f t="shared" si="23"/>
        <v>21</v>
      </c>
      <c r="C555">
        <f t="shared" si="25"/>
        <v>134</v>
      </c>
      <c r="D555" t="e" cm="1">
        <f t="array" aca="1" ref="D555" ca="1">INDIRECT("'Uke "&amp;B555&amp;"'!V"&amp;9+C555)</f>
        <v>#REF!</v>
      </c>
      <c r="E555" s="20" t="e" cm="1">
        <f t="array" aca="1" ref="E555" ca="1">INDIRECT("'Uke "&amp;B555&amp;"'!AB"&amp;9+C555)</f>
        <v>#REF!</v>
      </c>
    </row>
    <row r="556" spans="1:5" x14ac:dyDescent="0.25">
      <c r="A556">
        <f t="shared" si="24"/>
        <v>2935</v>
      </c>
      <c r="B556">
        <f t="shared" si="23"/>
        <v>21</v>
      </c>
      <c r="C556">
        <f t="shared" si="25"/>
        <v>135</v>
      </c>
      <c r="D556" t="e" cm="1">
        <f t="array" aca="1" ref="D556" ca="1">INDIRECT("'Uke "&amp;B556&amp;"'!V"&amp;9+C556)</f>
        <v>#REF!</v>
      </c>
      <c r="E556" s="20" t="e" cm="1">
        <f t="array" aca="1" ref="E556" ca="1">INDIRECT("'Uke "&amp;B556&amp;"'!AB"&amp;9+C556)</f>
        <v>#REF!</v>
      </c>
    </row>
    <row r="557" spans="1:5" x14ac:dyDescent="0.25">
      <c r="A557">
        <f t="shared" si="24"/>
        <v>2936</v>
      </c>
      <c r="B557">
        <f t="shared" si="23"/>
        <v>21</v>
      </c>
      <c r="C557">
        <f t="shared" si="25"/>
        <v>136</v>
      </c>
      <c r="D557" t="e" cm="1">
        <f t="array" aca="1" ref="D557" ca="1">INDIRECT("'Uke "&amp;B557&amp;"'!V"&amp;9+C557)</f>
        <v>#REF!</v>
      </c>
      <c r="E557" s="20" t="e" cm="1">
        <f t="array" aca="1" ref="E557" ca="1">INDIRECT("'Uke "&amp;B557&amp;"'!AB"&amp;9+C557)</f>
        <v>#REF!</v>
      </c>
    </row>
    <row r="558" spans="1:5" x14ac:dyDescent="0.25">
      <c r="A558">
        <f t="shared" si="24"/>
        <v>2937</v>
      </c>
      <c r="B558">
        <f t="shared" si="23"/>
        <v>21</v>
      </c>
      <c r="C558">
        <f t="shared" si="25"/>
        <v>137</v>
      </c>
      <c r="D558" t="e" cm="1">
        <f t="array" aca="1" ref="D558" ca="1">INDIRECT("'Uke "&amp;B558&amp;"'!V"&amp;9+C558)</f>
        <v>#REF!</v>
      </c>
      <c r="E558" s="20" t="e" cm="1">
        <f t="array" aca="1" ref="E558" ca="1">INDIRECT("'Uke "&amp;B558&amp;"'!AB"&amp;9+C558)</f>
        <v>#REF!</v>
      </c>
    </row>
    <row r="559" spans="1:5" x14ac:dyDescent="0.25">
      <c r="A559">
        <f t="shared" si="24"/>
        <v>2938</v>
      </c>
      <c r="B559">
        <f t="shared" si="23"/>
        <v>21</v>
      </c>
      <c r="C559">
        <f t="shared" si="25"/>
        <v>138</v>
      </c>
      <c r="D559" t="e" cm="1">
        <f t="array" aca="1" ref="D559" ca="1">INDIRECT("'Uke "&amp;B559&amp;"'!V"&amp;9+C559)</f>
        <v>#REF!</v>
      </c>
      <c r="E559" s="20" t="e" cm="1">
        <f t="array" aca="1" ref="E559" ca="1">INDIRECT("'Uke "&amp;B559&amp;"'!AB"&amp;9+C559)</f>
        <v>#REF!</v>
      </c>
    </row>
    <row r="560" spans="1:5" x14ac:dyDescent="0.25">
      <c r="A560">
        <f t="shared" si="24"/>
        <v>2939</v>
      </c>
      <c r="B560">
        <f t="shared" si="23"/>
        <v>21</v>
      </c>
      <c r="C560">
        <f t="shared" si="25"/>
        <v>139</v>
      </c>
      <c r="D560" t="e" cm="1">
        <f t="array" aca="1" ref="D560" ca="1">INDIRECT("'Uke "&amp;B560&amp;"'!V"&amp;9+C560)</f>
        <v>#REF!</v>
      </c>
      <c r="E560" s="20" t="e" cm="1">
        <f t="array" aca="1" ref="E560" ca="1">INDIRECT("'Uke "&amp;B560&amp;"'!AB"&amp;9+C560)</f>
        <v>#REF!</v>
      </c>
    </row>
    <row r="561" spans="1:5" x14ac:dyDescent="0.25">
      <c r="A561">
        <f t="shared" si="24"/>
        <v>2940</v>
      </c>
      <c r="B561">
        <f t="shared" si="23"/>
        <v>21</v>
      </c>
      <c r="C561">
        <f t="shared" si="25"/>
        <v>140</v>
      </c>
      <c r="D561" t="e" cm="1">
        <f t="array" aca="1" ref="D561" ca="1">INDIRECT("'Uke "&amp;B561&amp;"'!V"&amp;9+C561)</f>
        <v>#REF!</v>
      </c>
      <c r="E561" s="20" t="e" cm="1">
        <f t="array" aca="1" ref="E561" ca="1">INDIRECT("'Uke "&amp;B561&amp;"'!AB"&amp;9+C561)</f>
        <v>#REF!</v>
      </c>
    </row>
    <row r="562" spans="1:5" x14ac:dyDescent="0.25">
      <c r="A562">
        <f t="shared" si="24"/>
        <v>2941</v>
      </c>
      <c r="B562">
        <f t="shared" si="23"/>
        <v>22</v>
      </c>
      <c r="C562">
        <f t="shared" si="25"/>
        <v>1</v>
      </c>
      <c r="D562" t="e" cm="1">
        <f t="array" aca="1" ref="D562" ca="1">INDIRECT("'Uke "&amp;B562&amp;"'!V"&amp;9+C562)</f>
        <v>#REF!</v>
      </c>
      <c r="E562" s="20" t="e" cm="1">
        <f t="array" aca="1" ref="E562" ca="1">INDIRECT("'Uke "&amp;B562&amp;"'!AB"&amp;9+C562)</f>
        <v>#REF!</v>
      </c>
    </row>
    <row r="563" spans="1:5" x14ac:dyDescent="0.25">
      <c r="A563">
        <f t="shared" si="24"/>
        <v>2942</v>
      </c>
      <c r="B563">
        <f t="shared" si="23"/>
        <v>22</v>
      </c>
      <c r="C563">
        <f t="shared" si="25"/>
        <v>2</v>
      </c>
      <c r="D563" t="e" cm="1">
        <f t="array" aca="1" ref="D563" ca="1">INDIRECT("'Uke "&amp;B563&amp;"'!V"&amp;9+C563)</f>
        <v>#REF!</v>
      </c>
      <c r="E563" s="20" t="e" cm="1">
        <f t="array" aca="1" ref="E563" ca="1">INDIRECT("'Uke "&amp;B563&amp;"'!AB"&amp;9+C563)</f>
        <v>#REF!</v>
      </c>
    </row>
    <row r="564" spans="1:5" x14ac:dyDescent="0.25">
      <c r="A564">
        <f t="shared" si="24"/>
        <v>2943</v>
      </c>
      <c r="B564">
        <f t="shared" si="23"/>
        <v>22</v>
      </c>
      <c r="C564">
        <f t="shared" si="25"/>
        <v>3</v>
      </c>
      <c r="D564" t="e" cm="1">
        <f t="array" aca="1" ref="D564" ca="1">INDIRECT("'Uke "&amp;B564&amp;"'!V"&amp;9+C564)</f>
        <v>#REF!</v>
      </c>
      <c r="E564" s="20" t="e" cm="1">
        <f t="array" aca="1" ref="E564" ca="1">INDIRECT("'Uke "&amp;B564&amp;"'!AB"&amp;9+C564)</f>
        <v>#REF!</v>
      </c>
    </row>
    <row r="565" spans="1:5" x14ac:dyDescent="0.25">
      <c r="A565">
        <f t="shared" si="24"/>
        <v>2944</v>
      </c>
      <c r="B565">
        <f t="shared" si="23"/>
        <v>22</v>
      </c>
      <c r="C565">
        <f t="shared" si="25"/>
        <v>4</v>
      </c>
      <c r="D565" t="e" cm="1">
        <f t="array" aca="1" ref="D565" ca="1">INDIRECT("'Uke "&amp;B565&amp;"'!V"&amp;9+C565)</f>
        <v>#REF!</v>
      </c>
      <c r="E565" s="20" t="e" cm="1">
        <f t="array" aca="1" ref="E565" ca="1">INDIRECT("'Uke "&amp;B565&amp;"'!AB"&amp;9+C565)</f>
        <v>#REF!</v>
      </c>
    </row>
    <row r="566" spans="1:5" x14ac:dyDescent="0.25">
      <c r="A566">
        <f t="shared" si="24"/>
        <v>2945</v>
      </c>
      <c r="B566">
        <f t="shared" si="23"/>
        <v>22</v>
      </c>
      <c r="C566">
        <f t="shared" si="25"/>
        <v>5</v>
      </c>
      <c r="D566" t="e" cm="1">
        <f t="array" aca="1" ref="D566" ca="1">INDIRECT("'Uke "&amp;B566&amp;"'!V"&amp;9+C566)</f>
        <v>#REF!</v>
      </c>
      <c r="E566" s="20" t="e" cm="1">
        <f t="array" aca="1" ref="E566" ca="1">INDIRECT("'Uke "&amp;B566&amp;"'!AB"&amp;9+C566)</f>
        <v>#REF!</v>
      </c>
    </row>
    <row r="567" spans="1:5" x14ac:dyDescent="0.25">
      <c r="A567">
        <f t="shared" si="24"/>
        <v>2946</v>
      </c>
      <c r="B567">
        <f t="shared" si="23"/>
        <v>22</v>
      </c>
      <c r="C567">
        <f t="shared" si="25"/>
        <v>6</v>
      </c>
      <c r="D567" t="e" cm="1">
        <f t="array" aca="1" ref="D567" ca="1">INDIRECT("'Uke "&amp;B567&amp;"'!V"&amp;9+C567)</f>
        <v>#REF!</v>
      </c>
      <c r="E567" s="20" t="e" cm="1">
        <f t="array" aca="1" ref="E567" ca="1">INDIRECT("'Uke "&amp;B567&amp;"'!AB"&amp;9+C567)</f>
        <v>#REF!</v>
      </c>
    </row>
    <row r="568" spans="1:5" x14ac:dyDescent="0.25">
      <c r="A568">
        <f t="shared" si="24"/>
        <v>2947</v>
      </c>
      <c r="B568">
        <f t="shared" si="23"/>
        <v>22</v>
      </c>
      <c r="C568">
        <f t="shared" si="25"/>
        <v>7</v>
      </c>
      <c r="D568" t="e" cm="1">
        <f t="array" aca="1" ref="D568" ca="1">INDIRECT("'Uke "&amp;B568&amp;"'!V"&amp;9+C568)</f>
        <v>#REF!</v>
      </c>
      <c r="E568" s="20" t="e" cm="1">
        <f t="array" aca="1" ref="E568" ca="1">INDIRECT("'Uke "&amp;B568&amp;"'!AB"&amp;9+C568)</f>
        <v>#REF!</v>
      </c>
    </row>
    <row r="569" spans="1:5" x14ac:dyDescent="0.25">
      <c r="A569">
        <f t="shared" si="24"/>
        <v>2948</v>
      </c>
      <c r="B569">
        <f t="shared" si="23"/>
        <v>22</v>
      </c>
      <c r="C569">
        <f t="shared" si="25"/>
        <v>8</v>
      </c>
      <c r="D569" t="e" cm="1">
        <f t="array" aca="1" ref="D569" ca="1">INDIRECT("'Uke "&amp;B569&amp;"'!V"&amp;9+C569)</f>
        <v>#REF!</v>
      </c>
      <c r="E569" s="20" t="e" cm="1">
        <f t="array" aca="1" ref="E569" ca="1">INDIRECT("'Uke "&amp;B569&amp;"'!AB"&amp;9+C569)</f>
        <v>#REF!</v>
      </c>
    </row>
    <row r="570" spans="1:5" x14ac:dyDescent="0.25">
      <c r="A570">
        <f t="shared" si="24"/>
        <v>2949</v>
      </c>
      <c r="B570">
        <f t="shared" si="23"/>
        <v>22</v>
      </c>
      <c r="C570">
        <f t="shared" si="25"/>
        <v>9</v>
      </c>
      <c r="D570" t="e" cm="1">
        <f t="array" aca="1" ref="D570" ca="1">INDIRECT("'Uke "&amp;B570&amp;"'!V"&amp;9+C570)</f>
        <v>#REF!</v>
      </c>
      <c r="E570" s="20" t="e" cm="1">
        <f t="array" aca="1" ref="E570" ca="1">INDIRECT("'Uke "&amp;B570&amp;"'!AB"&amp;9+C570)</f>
        <v>#REF!</v>
      </c>
    </row>
    <row r="571" spans="1:5" x14ac:dyDescent="0.25">
      <c r="A571">
        <f t="shared" si="24"/>
        <v>2950</v>
      </c>
      <c r="B571">
        <f t="shared" si="23"/>
        <v>22</v>
      </c>
      <c r="C571">
        <f t="shared" si="25"/>
        <v>10</v>
      </c>
      <c r="D571" t="e" cm="1">
        <f t="array" aca="1" ref="D571" ca="1">INDIRECT("'Uke "&amp;B571&amp;"'!V"&amp;9+C571)</f>
        <v>#REF!</v>
      </c>
      <c r="E571" s="20" t="e" cm="1">
        <f t="array" aca="1" ref="E571" ca="1">INDIRECT("'Uke "&amp;B571&amp;"'!AB"&amp;9+C571)</f>
        <v>#REF!</v>
      </c>
    </row>
    <row r="572" spans="1:5" x14ac:dyDescent="0.25">
      <c r="A572">
        <f t="shared" si="24"/>
        <v>2951</v>
      </c>
      <c r="B572">
        <f t="shared" si="23"/>
        <v>22</v>
      </c>
      <c r="C572">
        <f t="shared" si="25"/>
        <v>11</v>
      </c>
      <c r="D572" t="e" cm="1">
        <f t="array" aca="1" ref="D572" ca="1">INDIRECT("'Uke "&amp;B572&amp;"'!V"&amp;9+C572)</f>
        <v>#REF!</v>
      </c>
      <c r="E572" s="20" t="e" cm="1">
        <f t="array" aca="1" ref="E572" ca="1">INDIRECT("'Uke "&amp;B572&amp;"'!AB"&amp;9+C572)</f>
        <v>#REF!</v>
      </c>
    </row>
    <row r="573" spans="1:5" x14ac:dyDescent="0.25">
      <c r="A573">
        <f t="shared" si="24"/>
        <v>2952</v>
      </c>
      <c r="B573">
        <f t="shared" si="23"/>
        <v>22</v>
      </c>
      <c r="C573">
        <f t="shared" si="25"/>
        <v>12</v>
      </c>
      <c r="D573" t="e" cm="1">
        <f t="array" aca="1" ref="D573" ca="1">INDIRECT("'Uke "&amp;B573&amp;"'!V"&amp;9+C573)</f>
        <v>#REF!</v>
      </c>
      <c r="E573" s="20" t="e" cm="1">
        <f t="array" aca="1" ref="E573" ca="1">INDIRECT("'Uke "&amp;B573&amp;"'!AB"&amp;9+C573)</f>
        <v>#REF!</v>
      </c>
    </row>
    <row r="574" spans="1:5" x14ac:dyDescent="0.25">
      <c r="A574">
        <f t="shared" si="24"/>
        <v>2953</v>
      </c>
      <c r="B574">
        <f t="shared" si="23"/>
        <v>22</v>
      </c>
      <c r="C574">
        <f t="shared" si="25"/>
        <v>13</v>
      </c>
      <c r="D574" t="e" cm="1">
        <f t="array" aca="1" ref="D574" ca="1">INDIRECT("'Uke "&amp;B574&amp;"'!V"&amp;9+C574)</f>
        <v>#REF!</v>
      </c>
      <c r="E574" s="20" t="e" cm="1">
        <f t="array" aca="1" ref="E574" ca="1">INDIRECT("'Uke "&amp;B574&amp;"'!AB"&amp;9+C574)</f>
        <v>#REF!</v>
      </c>
    </row>
    <row r="575" spans="1:5" x14ac:dyDescent="0.25">
      <c r="A575">
        <f t="shared" si="24"/>
        <v>2954</v>
      </c>
      <c r="B575">
        <f t="shared" si="23"/>
        <v>22</v>
      </c>
      <c r="C575">
        <f t="shared" si="25"/>
        <v>14</v>
      </c>
      <c r="D575" t="e" cm="1">
        <f t="array" aca="1" ref="D575" ca="1">INDIRECT("'Uke "&amp;B575&amp;"'!V"&amp;9+C575)</f>
        <v>#REF!</v>
      </c>
      <c r="E575" s="20" t="e" cm="1">
        <f t="array" aca="1" ref="E575" ca="1">INDIRECT("'Uke "&amp;B575&amp;"'!AB"&amp;9+C575)</f>
        <v>#REF!</v>
      </c>
    </row>
    <row r="576" spans="1:5" x14ac:dyDescent="0.25">
      <c r="A576">
        <f t="shared" si="24"/>
        <v>2955</v>
      </c>
      <c r="B576">
        <f t="shared" si="23"/>
        <v>22</v>
      </c>
      <c r="C576">
        <f t="shared" si="25"/>
        <v>15</v>
      </c>
      <c r="D576" t="e" cm="1">
        <f t="array" aca="1" ref="D576" ca="1">INDIRECT("'Uke "&amp;B576&amp;"'!V"&amp;9+C576)</f>
        <v>#REF!</v>
      </c>
      <c r="E576" s="20" t="e" cm="1">
        <f t="array" aca="1" ref="E576" ca="1">INDIRECT("'Uke "&amp;B576&amp;"'!AB"&amp;9+C576)</f>
        <v>#REF!</v>
      </c>
    </row>
    <row r="577" spans="1:5" x14ac:dyDescent="0.25">
      <c r="A577">
        <f t="shared" si="24"/>
        <v>2956</v>
      </c>
      <c r="B577">
        <f t="shared" si="23"/>
        <v>22</v>
      </c>
      <c r="C577">
        <f t="shared" si="25"/>
        <v>16</v>
      </c>
      <c r="D577" t="e" cm="1">
        <f t="array" aca="1" ref="D577" ca="1">INDIRECT("'Uke "&amp;B577&amp;"'!V"&amp;9+C577)</f>
        <v>#REF!</v>
      </c>
      <c r="E577" s="20" t="e" cm="1">
        <f t="array" aca="1" ref="E577" ca="1">INDIRECT("'Uke "&amp;B577&amp;"'!AB"&amp;9+C577)</f>
        <v>#REF!</v>
      </c>
    </row>
    <row r="578" spans="1:5" x14ac:dyDescent="0.25">
      <c r="A578">
        <f t="shared" si="24"/>
        <v>2957</v>
      </c>
      <c r="B578">
        <f t="shared" ref="B578:B641" si="26">INT((A578-1)/140)+1</f>
        <v>22</v>
      </c>
      <c r="C578">
        <f t="shared" si="25"/>
        <v>17</v>
      </c>
      <c r="D578" t="e" cm="1">
        <f t="array" aca="1" ref="D578" ca="1">INDIRECT("'Uke "&amp;B578&amp;"'!V"&amp;9+C578)</f>
        <v>#REF!</v>
      </c>
      <c r="E578" s="20" t="e" cm="1">
        <f t="array" aca="1" ref="E578" ca="1">INDIRECT("'Uke "&amp;B578&amp;"'!AB"&amp;9+C578)</f>
        <v>#REF!</v>
      </c>
    </row>
    <row r="579" spans="1:5" x14ac:dyDescent="0.25">
      <c r="A579">
        <f t="shared" si="24"/>
        <v>2958</v>
      </c>
      <c r="B579">
        <f t="shared" si="26"/>
        <v>22</v>
      </c>
      <c r="C579">
        <f t="shared" si="25"/>
        <v>18</v>
      </c>
      <c r="D579" t="e" cm="1">
        <f t="array" aca="1" ref="D579" ca="1">INDIRECT("'Uke "&amp;B579&amp;"'!V"&amp;9+C579)</f>
        <v>#REF!</v>
      </c>
      <c r="E579" s="20" t="e" cm="1">
        <f t="array" aca="1" ref="E579" ca="1">INDIRECT("'Uke "&amp;B579&amp;"'!AB"&amp;9+C579)</f>
        <v>#REF!</v>
      </c>
    </row>
    <row r="580" spans="1:5" x14ac:dyDescent="0.25">
      <c r="A580">
        <f t="shared" si="24"/>
        <v>2959</v>
      </c>
      <c r="B580">
        <f t="shared" si="26"/>
        <v>22</v>
      </c>
      <c r="C580">
        <f t="shared" si="25"/>
        <v>19</v>
      </c>
      <c r="D580" t="e" cm="1">
        <f t="array" aca="1" ref="D580" ca="1">INDIRECT("'Uke "&amp;B580&amp;"'!V"&amp;9+C580)</f>
        <v>#REF!</v>
      </c>
      <c r="E580" s="20" t="e" cm="1">
        <f t="array" aca="1" ref="E580" ca="1">INDIRECT("'Uke "&amp;B580&amp;"'!AB"&amp;9+C580)</f>
        <v>#REF!</v>
      </c>
    </row>
    <row r="581" spans="1:5" x14ac:dyDescent="0.25">
      <c r="A581">
        <f t="shared" si="24"/>
        <v>2960</v>
      </c>
      <c r="B581">
        <f t="shared" si="26"/>
        <v>22</v>
      </c>
      <c r="C581">
        <f t="shared" si="25"/>
        <v>20</v>
      </c>
      <c r="D581" t="e" cm="1">
        <f t="array" aca="1" ref="D581" ca="1">INDIRECT("'Uke "&amp;B581&amp;"'!V"&amp;9+C581)</f>
        <v>#REF!</v>
      </c>
      <c r="E581" s="20" t="e" cm="1">
        <f t="array" aca="1" ref="E581" ca="1">INDIRECT("'Uke "&amp;B581&amp;"'!AB"&amp;9+C581)</f>
        <v>#REF!</v>
      </c>
    </row>
    <row r="582" spans="1:5" x14ac:dyDescent="0.25">
      <c r="A582">
        <f t="shared" si="24"/>
        <v>2961</v>
      </c>
      <c r="B582">
        <f t="shared" si="26"/>
        <v>22</v>
      </c>
      <c r="C582">
        <f t="shared" si="25"/>
        <v>21</v>
      </c>
      <c r="D582" t="e" cm="1">
        <f t="array" aca="1" ref="D582" ca="1">INDIRECT("'Uke "&amp;B582&amp;"'!V"&amp;9+C582)</f>
        <v>#REF!</v>
      </c>
      <c r="E582" s="20" t="e" cm="1">
        <f t="array" aca="1" ref="E582" ca="1">INDIRECT("'Uke "&amp;B582&amp;"'!AB"&amp;9+C582)</f>
        <v>#REF!</v>
      </c>
    </row>
    <row r="583" spans="1:5" x14ac:dyDescent="0.25">
      <c r="A583">
        <f t="shared" si="24"/>
        <v>2962</v>
      </c>
      <c r="B583">
        <f t="shared" si="26"/>
        <v>22</v>
      </c>
      <c r="C583">
        <f t="shared" si="25"/>
        <v>22</v>
      </c>
      <c r="D583" t="e" cm="1">
        <f t="array" aca="1" ref="D583" ca="1">INDIRECT("'Uke "&amp;B583&amp;"'!V"&amp;9+C583)</f>
        <v>#REF!</v>
      </c>
      <c r="E583" s="20" t="e" cm="1">
        <f t="array" aca="1" ref="E583" ca="1">INDIRECT("'Uke "&amp;B583&amp;"'!AB"&amp;9+C583)</f>
        <v>#REF!</v>
      </c>
    </row>
    <row r="584" spans="1:5" x14ac:dyDescent="0.25">
      <c r="A584">
        <f t="shared" si="24"/>
        <v>2963</v>
      </c>
      <c r="B584">
        <f t="shared" si="26"/>
        <v>22</v>
      </c>
      <c r="C584">
        <f t="shared" si="25"/>
        <v>23</v>
      </c>
      <c r="D584" t="e" cm="1">
        <f t="array" aca="1" ref="D584" ca="1">INDIRECT("'Uke "&amp;B584&amp;"'!V"&amp;9+C584)</f>
        <v>#REF!</v>
      </c>
      <c r="E584" s="20" t="e" cm="1">
        <f t="array" aca="1" ref="E584" ca="1">INDIRECT("'Uke "&amp;B584&amp;"'!AB"&amp;9+C584)</f>
        <v>#REF!</v>
      </c>
    </row>
    <row r="585" spans="1:5" x14ac:dyDescent="0.25">
      <c r="A585">
        <f t="shared" si="24"/>
        <v>2964</v>
      </c>
      <c r="B585">
        <f t="shared" si="26"/>
        <v>22</v>
      </c>
      <c r="C585">
        <f t="shared" si="25"/>
        <v>24</v>
      </c>
      <c r="D585" t="e" cm="1">
        <f t="array" aca="1" ref="D585" ca="1">INDIRECT("'Uke "&amp;B585&amp;"'!V"&amp;9+C585)</f>
        <v>#REF!</v>
      </c>
      <c r="E585" s="20" t="e" cm="1">
        <f t="array" aca="1" ref="E585" ca="1">INDIRECT("'Uke "&amp;B585&amp;"'!AB"&amp;9+C585)</f>
        <v>#REF!</v>
      </c>
    </row>
    <row r="586" spans="1:5" x14ac:dyDescent="0.25">
      <c r="A586">
        <f t="shared" si="24"/>
        <v>2965</v>
      </c>
      <c r="B586">
        <f t="shared" si="26"/>
        <v>22</v>
      </c>
      <c r="C586">
        <f t="shared" si="25"/>
        <v>25</v>
      </c>
      <c r="D586" t="e" cm="1">
        <f t="array" aca="1" ref="D586" ca="1">INDIRECT("'Uke "&amp;B586&amp;"'!V"&amp;9+C586)</f>
        <v>#REF!</v>
      </c>
      <c r="E586" s="20" t="e" cm="1">
        <f t="array" aca="1" ref="E586" ca="1">INDIRECT("'Uke "&amp;B586&amp;"'!AB"&amp;9+C586)</f>
        <v>#REF!</v>
      </c>
    </row>
    <row r="587" spans="1:5" x14ac:dyDescent="0.25">
      <c r="A587">
        <f t="shared" si="24"/>
        <v>2966</v>
      </c>
      <c r="B587">
        <f t="shared" si="26"/>
        <v>22</v>
      </c>
      <c r="C587">
        <f t="shared" si="25"/>
        <v>26</v>
      </c>
      <c r="D587" t="e" cm="1">
        <f t="array" aca="1" ref="D587" ca="1">INDIRECT("'Uke "&amp;B587&amp;"'!V"&amp;9+C587)</f>
        <v>#REF!</v>
      </c>
      <c r="E587" s="20" t="e" cm="1">
        <f t="array" aca="1" ref="E587" ca="1">INDIRECT("'Uke "&amp;B587&amp;"'!AB"&amp;9+C587)</f>
        <v>#REF!</v>
      </c>
    </row>
    <row r="588" spans="1:5" x14ac:dyDescent="0.25">
      <c r="A588">
        <f t="shared" si="24"/>
        <v>2967</v>
      </c>
      <c r="B588">
        <f t="shared" si="26"/>
        <v>22</v>
      </c>
      <c r="C588">
        <f t="shared" si="25"/>
        <v>27</v>
      </c>
      <c r="D588" t="e" cm="1">
        <f t="array" aca="1" ref="D588" ca="1">INDIRECT("'Uke "&amp;B588&amp;"'!V"&amp;9+C588)</f>
        <v>#REF!</v>
      </c>
      <c r="E588" s="20" t="e" cm="1">
        <f t="array" aca="1" ref="E588" ca="1">INDIRECT("'Uke "&amp;B588&amp;"'!AB"&amp;9+C588)</f>
        <v>#REF!</v>
      </c>
    </row>
    <row r="589" spans="1:5" x14ac:dyDescent="0.25">
      <c r="A589">
        <f t="shared" si="24"/>
        <v>2968</v>
      </c>
      <c r="B589">
        <f t="shared" si="26"/>
        <v>22</v>
      </c>
      <c r="C589">
        <f t="shared" si="25"/>
        <v>28</v>
      </c>
      <c r="D589" t="e" cm="1">
        <f t="array" aca="1" ref="D589" ca="1">INDIRECT("'Uke "&amp;B589&amp;"'!V"&amp;9+C589)</f>
        <v>#REF!</v>
      </c>
      <c r="E589" s="20" t="e" cm="1">
        <f t="array" aca="1" ref="E589" ca="1">INDIRECT("'Uke "&amp;B589&amp;"'!AB"&amp;9+C589)</f>
        <v>#REF!</v>
      </c>
    </row>
    <row r="590" spans="1:5" x14ac:dyDescent="0.25">
      <c r="A590">
        <f t="shared" si="24"/>
        <v>2969</v>
      </c>
      <c r="B590">
        <f t="shared" si="26"/>
        <v>22</v>
      </c>
      <c r="C590">
        <f t="shared" si="25"/>
        <v>29</v>
      </c>
      <c r="D590" t="e" cm="1">
        <f t="array" aca="1" ref="D590" ca="1">INDIRECT("'Uke "&amp;B590&amp;"'!V"&amp;9+C590)</f>
        <v>#REF!</v>
      </c>
      <c r="E590" s="20" t="e" cm="1">
        <f t="array" aca="1" ref="E590" ca="1">INDIRECT("'Uke "&amp;B590&amp;"'!AB"&amp;9+C590)</f>
        <v>#REF!</v>
      </c>
    </row>
    <row r="591" spans="1:5" x14ac:dyDescent="0.25">
      <c r="A591">
        <f t="shared" si="24"/>
        <v>2970</v>
      </c>
      <c r="B591">
        <f t="shared" si="26"/>
        <v>22</v>
      </c>
      <c r="C591">
        <f t="shared" si="25"/>
        <v>30</v>
      </c>
      <c r="D591" t="e" cm="1">
        <f t="array" aca="1" ref="D591" ca="1">INDIRECT("'Uke "&amp;B591&amp;"'!V"&amp;9+C591)</f>
        <v>#REF!</v>
      </c>
      <c r="E591" s="20" t="e" cm="1">
        <f t="array" aca="1" ref="E591" ca="1">INDIRECT("'Uke "&amp;B591&amp;"'!AB"&amp;9+C591)</f>
        <v>#REF!</v>
      </c>
    </row>
    <row r="592" spans="1:5" x14ac:dyDescent="0.25">
      <c r="A592">
        <f t="shared" si="24"/>
        <v>2971</v>
      </c>
      <c r="B592">
        <f t="shared" si="26"/>
        <v>22</v>
      </c>
      <c r="C592">
        <f t="shared" si="25"/>
        <v>31</v>
      </c>
      <c r="D592" t="e" cm="1">
        <f t="array" aca="1" ref="D592" ca="1">INDIRECT("'Uke "&amp;B592&amp;"'!V"&amp;9+C592)</f>
        <v>#REF!</v>
      </c>
      <c r="E592" s="20" t="e" cm="1">
        <f t="array" aca="1" ref="E592" ca="1">INDIRECT("'Uke "&amp;B592&amp;"'!AB"&amp;9+C592)</f>
        <v>#REF!</v>
      </c>
    </row>
    <row r="593" spans="1:5" x14ac:dyDescent="0.25">
      <c r="A593">
        <f t="shared" ref="A593:A656" si="27">A592+1</f>
        <v>2972</v>
      </c>
      <c r="B593">
        <f t="shared" si="26"/>
        <v>22</v>
      </c>
      <c r="C593">
        <f t="shared" ref="C593:C656" si="28">MOD(A593-1,140)+1</f>
        <v>32</v>
      </c>
      <c r="D593" t="e" cm="1">
        <f t="array" aca="1" ref="D593" ca="1">INDIRECT("'Uke "&amp;B593&amp;"'!V"&amp;9+C593)</f>
        <v>#REF!</v>
      </c>
      <c r="E593" s="20" t="e" cm="1">
        <f t="array" aca="1" ref="E593" ca="1">INDIRECT("'Uke "&amp;B593&amp;"'!AB"&amp;9+C593)</f>
        <v>#REF!</v>
      </c>
    </row>
    <row r="594" spans="1:5" x14ac:dyDescent="0.25">
      <c r="A594">
        <f t="shared" si="27"/>
        <v>2973</v>
      </c>
      <c r="B594">
        <f t="shared" si="26"/>
        <v>22</v>
      </c>
      <c r="C594">
        <f t="shared" si="28"/>
        <v>33</v>
      </c>
      <c r="D594" t="e" cm="1">
        <f t="array" aca="1" ref="D594" ca="1">INDIRECT("'Uke "&amp;B594&amp;"'!V"&amp;9+C594)</f>
        <v>#REF!</v>
      </c>
      <c r="E594" s="20" t="e" cm="1">
        <f t="array" aca="1" ref="E594" ca="1">INDIRECT("'Uke "&amp;B594&amp;"'!AB"&amp;9+C594)</f>
        <v>#REF!</v>
      </c>
    </row>
    <row r="595" spans="1:5" x14ac:dyDescent="0.25">
      <c r="A595">
        <f t="shared" si="27"/>
        <v>2974</v>
      </c>
      <c r="B595">
        <f t="shared" si="26"/>
        <v>22</v>
      </c>
      <c r="C595">
        <f t="shared" si="28"/>
        <v>34</v>
      </c>
      <c r="D595" t="e" cm="1">
        <f t="array" aca="1" ref="D595" ca="1">INDIRECT("'Uke "&amp;B595&amp;"'!V"&amp;9+C595)</f>
        <v>#REF!</v>
      </c>
      <c r="E595" s="20" t="e" cm="1">
        <f t="array" aca="1" ref="E595" ca="1">INDIRECT("'Uke "&amp;B595&amp;"'!AB"&amp;9+C595)</f>
        <v>#REF!</v>
      </c>
    </row>
    <row r="596" spans="1:5" x14ac:dyDescent="0.25">
      <c r="A596">
        <f t="shared" si="27"/>
        <v>2975</v>
      </c>
      <c r="B596">
        <f t="shared" si="26"/>
        <v>22</v>
      </c>
      <c r="C596">
        <f t="shared" si="28"/>
        <v>35</v>
      </c>
      <c r="D596" t="e" cm="1">
        <f t="array" aca="1" ref="D596" ca="1">INDIRECT("'Uke "&amp;B596&amp;"'!V"&amp;9+C596)</f>
        <v>#REF!</v>
      </c>
      <c r="E596" s="20" t="e" cm="1">
        <f t="array" aca="1" ref="E596" ca="1">INDIRECT("'Uke "&amp;B596&amp;"'!AB"&amp;9+C596)</f>
        <v>#REF!</v>
      </c>
    </row>
    <row r="597" spans="1:5" x14ac:dyDescent="0.25">
      <c r="A597">
        <f t="shared" si="27"/>
        <v>2976</v>
      </c>
      <c r="B597">
        <f t="shared" si="26"/>
        <v>22</v>
      </c>
      <c r="C597">
        <f t="shared" si="28"/>
        <v>36</v>
      </c>
      <c r="D597" t="e" cm="1">
        <f t="array" aca="1" ref="D597" ca="1">INDIRECT("'Uke "&amp;B597&amp;"'!V"&amp;9+C597)</f>
        <v>#REF!</v>
      </c>
      <c r="E597" s="20" t="e" cm="1">
        <f t="array" aca="1" ref="E597" ca="1">INDIRECT("'Uke "&amp;B597&amp;"'!AB"&amp;9+C597)</f>
        <v>#REF!</v>
      </c>
    </row>
    <row r="598" spans="1:5" x14ac:dyDescent="0.25">
      <c r="A598">
        <f t="shared" si="27"/>
        <v>2977</v>
      </c>
      <c r="B598">
        <f t="shared" si="26"/>
        <v>22</v>
      </c>
      <c r="C598">
        <f t="shared" si="28"/>
        <v>37</v>
      </c>
      <c r="D598" t="e" cm="1">
        <f t="array" aca="1" ref="D598" ca="1">INDIRECT("'Uke "&amp;B598&amp;"'!V"&amp;9+C598)</f>
        <v>#REF!</v>
      </c>
      <c r="E598" s="20" t="e" cm="1">
        <f t="array" aca="1" ref="E598" ca="1">INDIRECT("'Uke "&amp;B598&amp;"'!AB"&amp;9+C598)</f>
        <v>#REF!</v>
      </c>
    </row>
    <row r="599" spans="1:5" x14ac:dyDescent="0.25">
      <c r="A599">
        <f t="shared" si="27"/>
        <v>2978</v>
      </c>
      <c r="B599">
        <f t="shared" si="26"/>
        <v>22</v>
      </c>
      <c r="C599">
        <f t="shared" si="28"/>
        <v>38</v>
      </c>
      <c r="D599" t="e" cm="1">
        <f t="array" aca="1" ref="D599" ca="1">INDIRECT("'Uke "&amp;B599&amp;"'!V"&amp;9+C599)</f>
        <v>#REF!</v>
      </c>
      <c r="E599" s="20" t="e" cm="1">
        <f t="array" aca="1" ref="E599" ca="1">INDIRECT("'Uke "&amp;B599&amp;"'!AB"&amp;9+C599)</f>
        <v>#REF!</v>
      </c>
    </row>
    <row r="600" spans="1:5" x14ac:dyDescent="0.25">
      <c r="A600">
        <f t="shared" si="27"/>
        <v>2979</v>
      </c>
      <c r="B600">
        <f t="shared" si="26"/>
        <v>22</v>
      </c>
      <c r="C600">
        <f t="shared" si="28"/>
        <v>39</v>
      </c>
      <c r="D600" t="e" cm="1">
        <f t="array" aca="1" ref="D600" ca="1">INDIRECT("'Uke "&amp;B600&amp;"'!V"&amp;9+C600)</f>
        <v>#REF!</v>
      </c>
      <c r="E600" s="20" t="e" cm="1">
        <f t="array" aca="1" ref="E600" ca="1">INDIRECT("'Uke "&amp;B600&amp;"'!AB"&amp;9+C600)</f>
        <v>#REF!</v>
      </c>
    </row>
    <row r="601" spans="1:5" x14ac:dyDescent="0.25">
      <c r="A601">
        <f t="shared" si="27"/>
        <v>2980</v>
      </c>
      <c r="B601">
        <f t="shared" si="26"/>
        <v>22</v>
      </c>
      <c r="C601">
        <f t="shared" si="28"/>
        <v>40</v>
      </c>
      <c r="D601" t="e" cm="1">
        <f t="array" aca="1" ref="D601" ca="1">INDIRECT("'Uke "&amp;B601&amp;"'!V"&amp;9+C601)</f>
        <v>#REF!</v>
      </c>
      <c r="E601" s="20" t="e" cm="1">
        <f t="array" aca="1" ref="E601" ca="1">INDIRECT("'Uke "&amp;B601&amp;"'!AB"&amp;9+C601)</f>
        <v>#REF!</v>
      </c>
    </row>
    <row r="602" spans="1:5" x14ac:dyDescent="0.25">
      <c r="A602">
        <f t="shared" si="27"/>
        <v>2981</v>
      </c>
      <c r="B602">
        <f t="shared" si="26"/>
        <v>22</v>
      </c>
      <c r="C602">
        <f t="shared" si="28"/>
        <v>41</v>
      </c>
      <c r="D602" t="e" cm="1">
        <f t="array" aca="1" ref="D602" ca="1">INDIRECT("'Uke "&amp;B602&amp;"'!V"&amp;9+C602)</f>
        <v>#REF!</v>
      </c>
      <c r="E602" s="20" t="e" cm="1">
        <f t="array" aca="1" ref="E602" ca="1">INDIRECT("'Uke "&amp;B602&amp;"'!AB"&amp;9+C602)</f>
        <v>#REF!</v>
      </c>
    </row>
    <row r="603" spans="1:5" x14ac:dyDescent="0.25">
      <c r="A603">
        <f t="shared" si="27"/>
        <v>2982</v>
      </c>
      <c r="B603">
        <f t="shared" si="26"/>
        <v>22</v>
      </c>
      <c r="C603">
        <f t="shared" si="28"/>
        <v>42</v>
      </c>
      <c r="D603" t="e" cm="1">
        <f t="array" aca="1" ref="D603" ca="1">INDIRECT("'Uke "&amp;B603&amp;"'!V"&amp;9+C603)</f>
        <v>#REF!</v>
      </c>
      <c r="E603" s="20" t="e" cm="1">
        <f t="array" aca="1" ref="E603" ca="1">INDIRECT("'Uke "&amp;B603&amp;"'!AB"&amp;9+C603)</f>
        <v>#REF!</v>
      </c>
    </row>
    <row r="604" spans="1:5" x14ac:dyDescent="0.25">
      <c r="A604">
        <f t="shared" si="27"/>
        <v>2983</v>
      </c>
      <c r="B604">
        <f t="shared" si="26"/>
        <v>22</v>
      </c>
      <c r="C604">
        <f t="shared" si="28"/>
        <v>43</v>
      </c>
      <c r="D604" t="e" cm="1">
        <f t="array" aca="1" ref="D604" ca="1">INDIRECT("'Uke "&amp;B604&amp;"'!V"&amp;9+C604)</f>
        <v>#REF!</v>
      </c>
      <c r="E604" s="20" t="e" cm="1">
        <f t="array" aca="1" ref="E604" ca="1">INDIRECT("'Uke "&amp;B604&amp;"'!AB"&amp;9+C604)</f>
        <v>#REF!</v>
      </c>
    </row>
    <row r="605" spans="1:5" x14ac:dyDescent="0.25">
      <c r="A605">
        <f t="shared" si="27"/>
        <v>2984</v>
      </c>
      <c r="B605">
        <f t="shared" si="26"/>
        <v>22</v>
      </c>
      <c r="C605">
        <f t="shared" si="28"/>
        <v>44</v>
      </c>
      <c r="D605" t="e" cm="1">
        <f t="array" aca="1" ref="D605" ca="1">INDIRECT("'Uke "&amp;B605&amp;"'!V"&amp;9+C605)</f>
        <v>#REF!</v>
      </c>
      <c r="E605" s="20" t="e" cm="1">
        <f t="array" aca="1" ref="E605" ca="1">INDIRECT("'Uke "&amp;B605&amp;"'!AB"&amp;9+C605)</f>
        <v>#REF!</v>
      </c>
    </row>
    <row r="606" spans="1:5" x14ac:dyDescent="0.25">
      <c r="A606">
        <f t="shared" si="27"/>
        <v>2985</v>
      </c>
      <c r="B606">
        <f t="shared" si="26"/>
        <v>22</v>
      </c>
      <c r="C606">
        <f t="shared" si="28"/>
        <v>45</v>
      </c>
      <c r="D606" t="e" cm="1">
        <f t="array" aca="1" ref="D606" ca="1">INDIRECT("'Uke "&amp;B606&amp;"'!V"&amp;9+C606)</f>
        <v>#REF!</v>
      </c>
      <c r="E606" s="20" t="e" cm="1">
        <f t="array" aca="1" ref="E606" ca="1">INDIRECT("'Uke "&amp;B606&amp;"'!AB"&amp;9+C606)</f>
        <v>#REF!</v>
      </c>
    </row>
    <row r="607" spans="1:5" x14ac:dyDescent="0.25">
      <c r="A607">
        <f t="shared" si="27"/>
        <v>2986</v>
      </c>
      <c r="B607">
        <f t="shared" si="26"/>
        <v>22</v>
      </c>
      <c r="C607">
        <f t="shared" si="28"/>
        <v>46</v>
      </c>
      <c r="D607" t="e" cm="1">
        <f t="array" aca="1" ref="D607" ca="1">INDIRECT("'Uke "&amp;B607&amp;"'!V"&amp;9+C607)</f>
        <v>#REF!</v>
      </c>
      <c r="E607" s="20" t="e" cm="1">
        <f t="array" aca="1" ref="E607" ca="1">INDIRECT("'Uke "&amp;B607&amp;"'!AB"&amp;9+C607)</f>
        <v>#REF!</v>
      </c>
    </row>
    <row r="608" spans="1:5" x14ac:dyDescent="0.25">
      <c r="A608">
        <f t="shared" si="27"/>
        <v>2987</v>
      </c>
      <c r="B608">
        <f t="shared" si="26"/>
        <v>22</v>
      </c>
      <c r="C608">
        <f t="shared" si="28"/>
        <v>47</v>
      </c>
      <c r="D608" t="e" cm="1">
        <f t="array" aca="1" ref="D608" ca="1">INDIRECT("'Uke "&amp;B608&amp;"'!V"&amp;9+C608)</f>
        <v>#REF!</v>
      </c>
      <c r="E608" s="20" t="e" cm="1">
        <f t="array" aca="1" ref="E608" ca="1">INDIRECT("'Uke "&amp;B608&amp;"'!AB"&amp;9+C608)</f>
        <v>#REF!</v>
      </c>
    </row>
    <row r="609" spans="1:5" x14ac:dyDescent="0.25">
      <c r="A609">
        <f t="shared" si="27"/>
        <v>2988</v>
      </c>
      <c r="B609">
        <f t="shared" si="26"/>
        <v>22</v>
      </c>
      <c r="C609">
        <f t="shared" si="28"/>
        <v>48</v>
      </c>
      <c r="D609" t="e" cm="1">
        <f t="array" aca="1" ref="D609" ca="1">INDIRECT("'Uke "&amp;B609&amp;"'!V"&amp;9+C609)</f>
        <v>#REF!</v>
      </c>
      <c r="E609" s="20" t="e" cm="1">
        <f t="array" aca="1" ref="E609" ca="1">INDIRECT("'Uke "&amp;B609&amp;"'!AB"&amp;9+C609)</f>
        <v>#REF!</v>
      </c>
    </row>
    <row r="610" spans="1:5" x14ac:dyDescent="0.25">
      <c r="A610">
        <f t="shared" si="27"/>
        <v>2989</v>
      </c>
      <c r="B610">
        <f t="shared" si="26"/>
        <v>22</v>
      </c>
      <c r="C610">
        <f t="shared" si="28"/>
        <v>49</v>
      </c>
      <c r="D610" t="e" cm="1">
        <f t="array" aca="1" ref="D610" ca="1">INDIRECT("'Uke "&amp;B610&amp;"'!V"&amp;9+C610)</f>
        <v>#REF!</v>
      </c>
      <c r="E610" s="20" t="e" cm="1">
        <f t="array" aca="1" ref="E610" ca="1">INDIRECT("'Uke "&amp;B610&amp;"'!AB"&amp;9+C610)</f>
        <v>#REF!</v>
      </c>
    </row>
    <row r="611" spans="1:5" x14ac:dyDescent="0.25">
      <c r="A611">
        <f t="shared" si="27"/>
        <v>2990</v>
      </c>
      <c r="B611">
        <f t="shared" si="26"/>
        <v>22</v>
      </c>
      <c r="C611">
        <f t="shared" si="28"/>
        <v>50</v>
      </c>
      <c r="D611" t="e" cm="1">
        <f t="array" aca="1" ref="D611" ca="1">INDIRECT("'Uke "&amp;B611&amp;"'!V"&amp;9+C611)</f>
        <v>#REF!</v>
      </c>
      <c r="E611" s="20" t="e" cm="1">
        <f t="array" aca="1" ref="E611" ca="1">INDIRECT("'Uke "&amp;B611&amp;"'!AB"&amp;9+C611)</f>
        <v>#REF!</v>
      </c>
    </row>
    <row r="612" spans="1:5" x14ac:dyDescent="0.25">
      <c r="A612">
        <f t="shared" si="27"/>
        <v>2991</v>
      </c>
      <c r="B612">
        <f t="shared" si="26"/>
        <v>22</v>
      </c>
      <c r="C612">
        <f t="shared" si="28"/>
        <v>51</v>
      </c>
      <c r="D612" t="e" cm="1">
        <f t="array" aca="1" ref="D612" ca="1">INDIRECT("'Uke "&amp;B612&amp;"'!V"&amp;9+C612)</f>
        <v>#REF!</v>
      </c>
      <c r="E612" s="20" t="e" cm="1">
        <f t="array" aca="1" ref="E612" ca="1">INDIRECT("'Uke "&amp;B612&amp;"'!AB"&amp;9+C612)</f>
        <v>#REF!</v>
      </c>
    </row>
    <row r="613" spans="1:5" x14ac:dyDescent="0.25">
      <c r="A613">
        <f t="shared" si="27"/>
        <v>2992</v>
      </c>
      <c r="B613">
        <f t="shared" si="26"/>
        <v>22</v>
      </c>
      <c r="C613">
        <f t="shared" si="28"/>
        <v>52</v>
      </c>
      <c r="D613" t="e" cm="1">
        <f t="array" aca="1" ref="D613" ca="1">INDIRECT("'Uke "&amp;B613&amp;"'!V"&amp;9+C613)</f>
        <v>#REF!</v>
      </c>
      <c r="E613" s="20" t="e" cm="1">
        <f t="array" aca="1" ref="E613" ca="1">INDIRECT("'Uke "&amp;B613&amp;"'!AB"&amp;9+C613)</f>
        <v>#REF!</v>
      </c>
    </row>
    <row r="614" spans="1:5" x14ac:dyDescent="0.25">
      <c r="A614">
        <f t="shared" si="27"/>
        <v>2993</v>
      </c>
      <c r="B614">
        <f t="shared" si="26"/>
        <v>22</v>
      </c>
      <c r="C614">
        <f t="shared" si="28"/>
        <v>53</v>
      </c>
      <c r="D614" t="e" cm="1">
        <f t="array" aca="1" ref="D614" ca="1">INDIRECT("'Uke "&amp;B614&amp;"'!V"&amp;9+C614)</f>
        <v>#REF!</v>
      </c>
      <c r="E614" s="20" t="e" cm="1">
        <f t="array" aca="1" ref="E614" ca="1">INDIRECT("'Uke "&amp;B614&amp;"'!AB"&amp;9+C614)</f>
        <v>#REF!</v>
      </c>
    </row>
    <row r="615" spans="1:5" x14ac:dyDescent="0.25">
      <c r="A615">
        <f t="shared" si="27"/>
        <v>2994</v>
      </c>
      <c r="B615">
        <f t="shared" si="26"/>
        <v>22</v>
      </c>
      <c r="C615">
        <f t="shared" si="28"/>
        <v>54</v>
      </c>
      <c r="D615" t="e" cm="1">
        <f t="array" aca="1" ref="D615" ca="1">INDIRECT("'Uke "&amp;B615&amp;"'!V"&amp;9+C615)</f>
        <v>#REF!</v>
      </c>
      <c r="E615" s="20" t="e" cm="1">
        <f t="array" aca="1" ref="E615" ca="1">INDIRECT("'Uke "&amp;B615&amp;"'!AB"&amp;9+C615)</f>
        <v>#REF!</v>
      </c>
    </row>
    <row r="616" spans="1:5" x14ac:dyDescent="0.25">
      <c r="A616">
        <f t="shared" si="27"/>
        <v>2995</v>
      </c>
      <c r="B616">
        <f t="shared" si="26"/>
        <v>22</v>
      </c>
      <c r="C616">
        <f t="shared" si="28"/>
        <v>55</v>
      </c>
      <c r="D616" t="e" cm="1">
        <f t="array" aca="1" ref="D616" ca="1">INDIRECT("'Uke "&amp;B616&amp;"'!V"&amp;9+C616)</f>
        <v>#REF!</v>
      </c>
      <c r="E616" s="20" t="e" cm="1">
        <f t="array" aca="1" ref="E616" ca="1">INDIRECT("'Uke "&amp;B616&amp;"'!AB"&amp;9+C616)</f>
        <v>#REF!</v>
      </c>
    </row>
    <row r="617" spans="1:5" x14ac:dyDescent="0.25">
      <c r="A617">
        <f t="shared" si="27"/>
        <v>2996</v>
      </c>
      <c r="B617">
        <f t="shared" si="26"/>
        <v>22</v>
      </c>
      <c r="C617">
        <f t="shared" si="28"/>
        <v>56</v>
      </c>
      <c r="D617" t="e" cm="1">
        <f t="array" aca="1" ref="D617" ca="1">INDIRECT("'Uke "&amp;B617&amp;"'!V"&amp;9+C617)</f>
        <v>#REF!</v>
      </c>
      <c r="E617" s="20" t="e" cm="1">
        <f t="array" aca="1" ref="E617" ca="1">INDIRECT("'Uke "&amp;B617&amp;"'!AB"&amp;9+C617)</f>
        <v>#REF!</v>
      </c>
    </row>
    <row r="618" spans="1:5" x14ac:dyDescent="0.25">
      <c r="A618">
        <f t="shared" si="27"/>
        <v>2997</v>
      </c>
      <c r="B618">
        <f t="shared" si="26"/>
        <v>22</v>
      </c>
      <c r="C618">
        <f t="shared" si="28"/>
        <v>57</v>
      </c>
      <c r="D618" t="e" cm="1">
        <f t="array" aca="1" ref="D618" ca="1">INDIRECT("'Uke "&amp;B618&amp;"'!V"&amp;9+C618)</f>
        <v>#REF!</v>
      </c>
      <c r="E618" s="20" t="e" cm="1">
        <f t="array" aca="1" ref="E618" ca="1">INDIRECT("'Uke "&amp;B618&amp;"'!AB"&amp;9+C618)</f>
        <v>#REF!</v>
      </c>
    </row>
    <row r="619" spans="1:5" x14ac:dyDescent="0.25">
      <c r="A619">
        <f t="shared" si="27"/>
        <v>2998</v>
      </c>
      <c r="B619">
        <f t="shared" si="26"/>
        <v>22</v>
      </c>
      <c r="C619">
        <f t="shared" si="28"/>
        <v>58</v>
      </c>
      <c r="D619" t="e" cm="1">
        <f t="array" aca="1" ref="D619" ca="1">INDIRECT("'Uke "&amp;B619&amp;"'!V"&amp;9+C619)</f>
        <v>#REF!</v>
      </c>
      <c r="E619" s="20" t="e" cm="1">
        <f t="array" aca="1" ref="E619" ca="1">INDIRECT("'Uke "&amp;B619&amp;"'!AB"&amp;9+C619)</f>
        <v>#REF!</v>
      </c>
    </row>
    <row r="620" spans="1:5" x14ac:dyDescent="0.25">
      <c r="A620">
        <f t="shared" si="27"/>
        <v>2999</v>
      </c>
      <c r="B620">
        <f t="shared" si="26"/>
        <v>22</v>
      </c>
      <c r="C620">
        <f t="shared" si="28"/>
        <v>59</v>
      </c>
      <c r="D620" t="e" cm="1">
        <f t="array" aca="1" ref="D620" ca="1">INDIRECT("'Uke "&amp;B620&amp;"'!V"&amp;9+C620)</f>
        <v>#REF!</v>
      </c>
      <c r="E620" s="20" t="e" cm="1">
        <f t="array" aca="1" ref="E620" ca="1">INDIRECT("'Uke "&amp;B620&amp;"'!AB"&amp;9+C620)</f>
        <v>#REF!</v>
      </c>
    </row>
    <row r="621" spans="1:5" x14ac:dyDescent="0.25">
      <c r="A621">
        <f t="shared" si="27"/>
        <v>3000</v>
      </c>
      <c r="B621">
        <f t="shared" si="26"/>
        <v>22</v>
      </c>
      <c r="C621">
        <f t="shared" si="28"/>
        <v>60</v>
      </c>
      <c r="D621" t="e" cm="1">
        <f t="array" aca="1" ref="D621" ca="1">INDIRECT("'Uke "&amp;B621&amp;"'!V"&amp;9+C621)</f>
        <v>#REF!</v>
      </c>
      <c r="E621" s="20" t="e" cm="1">
        <f t="array" aca="1" ref="E621" ca="1">INDIRECT("'Uke "&amp;B621&amp;"'!AB"&amp;9+C621)</f>
        <v>#REF!</v>
      </c>
    </row>
    <row r="622" spans="1:5" x14ac:dyDescent="0.25">
      <c r="A622">
        <f t="shared" si="27"/>
        <v>3001</v>
      </c>
      <c r="B622">
        <f t="shared" si="26"/>
        <v>22</v>
      </c>
      <c r="C622">
        <f t="shared" si="28"/>
        <v>61</v>
      </c>
      <c r="D622" t="e" cm="1">
        <f t="array" aca="1" ref="D622" ca="1">INDIRECT("'Uke "&amp;B622&amp;"'!V"&amp;9+C622)</f>
        <v>#REF!</v>
      </c>
      <c r="E622" s="20" t="e" cm="1">
        <f t="array" aca="1" ref="E622" ca="1">INDIRECT("'Uke "&amp;B622&amp;"'!AB"&amp;9+C622)</f>
        <v>#REF!</v>
      </c>
    </row>
    <row r="623" spans="1:5" x14ac:dyDescent="0.25">
      <c r="A623">
        <f t="shared" si="27"/>
        <v>3002</v>
      </c>
      <c r="B623">
        <f t="shared" si="26"/>
        <v>22</v>
      </c>
      <c r="C623">
        <f t="shared" si="28"/>
        <v>62</v>
      </c>
      <c r="D623" t="e" cm="1">
        <f t="array" aca="1" ref="D623" ca="1">INDIRECT("'Uke "&amp;B623&amp;"'!V"&amp;9+C623)</f>
        <v>#REF!</v>
      </c>
      <c r="E623" s="20" t="e" cm="1">
        <f t="array" aca="1" ref="E623" ca="1">INDIRECT("'Uke "&amp;B623&amp;"'!AB"&amp;9+C623)</f>
        <v>#REF!</v>
      </c>
    </row>
    <row r="624" spans="1:5" x14ac:dyDescent="0.25">
      <c r="A624">
        <f t="shared" si="27"/>
        <v>3003</v>
      </c>
      <c r="B624">
        <f t="shared" si="26"/>
        <v>22</v>
      </c>
      <c r="C624">
        <f t="shared" si="28"/>
        <v>63</v>
      </c>
      <c r="D624" t="e" cm="1">
        <f t="array" aca="1" ref="D624" ca="1">INDIRECT("'Uke "&amp;B624&amp;"'!V"&amp;9+C624)</f>
        <v>#REF!</v>
      </c>
      <c r="E624" s="20" t="e" cm="1">
        <f t="array" aca="1" ref="E624" ca="1">INDIRECT("'Uke "&amp;B624&amp;"'!AB"&amp;9+C624)</f>
        <v>#REF!</v>
      </c>
    </row>
    <row r="625" spans="1:5" x14ac:dyDescent="0.25">
      <c r="A625">
        <f t="shared" si="27"/>
        <v>3004</v>
      </c>
      <c r="B625">
        <f t="shared" si="26"/>
        <v>22</v>
      </c>
      <c r="C625">
        <f t="shared" si="28"/>
        <v>64</v>
      </c>
      <c r="D625" t="e" cm="1">
        <f t="array" aca="1" ref="D625" ca="1">INDIRECT("'Uke "&amp;B625&amp;"'!V"&amp;9+C625)</f>
        <v>#REF!</v>
      </c>
      <c r="E625" s="20" t="e" cm="1">
        <f t="array" aca="1" ref="E625" ca="1">INDIRECT("'Uke "&amp;B625&amp;"'!AB"&amp;9+C625)</f>
        <v>#REF!</v>
      </c>
    </row>
    <row r="626" spans="1:5" x14ac:dyDescent="0.25">
      <c r="A626">
        <f t="shared" si="27"/>
        <v>3005</v>
      </c>
      <c r="B626">
        <f t="shared" si="26"/>
        <v>22</v>
      </c>
      <c r="C626">
        <f t="shared" si="28"/>
        <v>65</v>
      </c>
      <c r="D626" t="e" cm="1">
        <f t="array" aca="1" ref="D626" ca="1">INDIRECT("'Uke "&amp;B626&amp;"'!V"&amp;9+C626)</f>
        <v>#REF!</v>
      </c>
      <c r="E626" s="20" t="e" cm="1">
        <f t="array" aca="1" ref="E626" ca="1">INDIRECT("'Uke "&amp;B626&amp;"'!AB"&amp;9+C626)</f>
        <v>#REF!</v>
      </c>
    </row>
    <row r="627" spans="1:5" x14ac:dyDescent="0.25">
      <c r="A627">
        <f t="shared" si="27"/>
        <v>3006</v>
      </c>
      <c r="B627">
        <f t="shared" si="26"/>
        <v>22</v>
      </c>
      <c r="C627">
        <f t="shared" si="28"/>
        <v>66</v>
      </c>
      <c r="D627" t="e" cm="1">
        <f t="array" aca="1" ref="D627" ca="1">INDIRECT("'Uke "&amp;B627&amp;"'!V"&amp;9+C627)</f>
        <v>#REF!</v>
      </c>
      <c r="E627" s="20" t="e" cm="1">
        <f t="array" aca="1" ref="E627" ca="1">INDIRECT("'Uke "&amp;B627&amp;"'!AB"&amp;9+C627)</f>
        <v>#REF!</v>
      </c>
    </row>
    <row r="628" spans="1:5" x14ac:dyDescent="0.25">
      <c r="A628">
        <f t="shared" si="27"/>
        <v>3007</v>
      </c>
      <c r="B628">
        <f t="shared" si="26"/>
        <v>22</v>
      </c>
      <c r="C628">
        <f t="shared" si="28"/>
        <v>67</v>
      </c>
      <c r="D628" t="e" cm="1">
        <f t="array" aca="1" ref="D628" ca="1">INDIRECT("'Uke "&amp;B628&amp;"'!V"&amp;9+C628)</f>
        <v>#REF!</v>
      </c>
      <c r="E628" s="20" t="e" cm="1">
        <f t="array" aca="1" ref="E628" ca="1">INDIRECT("'Uke "&amp;B628&amp;"'!AB"&amp;9+C628)</f>
        <v>#REF!</v>
      </c>
    </row>
    <row r="629" spans="1:5" x14ac:dyDescent="0.25">
      <c r="A629">
        <f t="shared" si="27"/>
        <v>3008</v>
      </c>
      <c r="B629">
        <f t="shared" si="26"/>
        <v>22</v>
      </c>
      <c r="C629">
        <f t="shared" si="28"/>
        <v>68</v>
      </c>
      <c r="D629" t="e" cm="1">
        <f t="array" aca="1" ref="D629" ca="1">INDIRECT("'Uke "&amp;B629&amp;"'!V"&amp;9+C629)</f>
        <v>#REF!</v>
      </c>
      <c r="E629" s="20" t="e" cm="1">
        <f t="array" aca="1" ref="E629" ca="1">INDIRECT("'Uke "&amp;B629&amp;"'!AB"&amp;9+C629)</f>
        <v>#REF!</v>
      </c>
    </row>
    <row r="630" spans="1:5" x14ac:dyDescent="0.25">
      <c r="A630">
        <f t="shared" si="27"/>
        <v>3009</v>
      </c>
      <c r="B630">
        <f t="shared" si="26"/>
        <v>22</v>
      </c>
      <c r="C630">
        <f t="shared" si="28"/>
        <v>69</v>
      </c>
      <c r="D630" t="e" cm="1">
        <f t="array" aca="1" ref="D630" ca="1">INDIRECT("'Uke "&amp;B630&amp;"'!V"&amp;9+C630)</f>
        <v>#REF!</v>
      </c>
      <c r="E630" s="20" t="e" cm="1">
        <f t="array" aca="1" ref="E630" ca="1">INDIRECT("'Uke "&amp;B630&amp;"'!AB"&amp;9+C630)</f>
        <v>#REF!</v>
      </c>
    </row>
    <row r="631" spans="1:5" x14ac:dyDescent="0.25">
      <c r="A631">
        <f t="shared" si="27"/>
        <v>3010</v>
      </c>
      <c r="B631">
        <f t="shared" si="26"/>
        <v>22</v>
      </c>
      <c r="C631">
        <f t="shared" si="28"/>
        <v>70</v>
      </c>
      <c r="D631" t="e" cm="1">
        <f t="array" aca="1" ref="D631" ca="1">INDIRECT("'Uke "&amp;B631&amp;"'!V"&amp;9+C631)</f>
        <v>#REF!</v>
      </c>
      <c r="E631" s="20" t="e" cm="1">
        <f t="array" aca="1" ref="E631" ca="1">INDIRECT("'Uke "&amp;B631&amp;"'!AB"&amp;9+C631)</f>
        <v>#REF!</v>
      </c>
    </row>
    <row r="632" spans="1:5" x14ac:dyDescent="0.25">
      <c r="A632">
        <f t="shared" si="27"/>
        <v>3011</v>
      </c>
      <c r="B632">
        <f t="shared" si="26"/>
        <v>22</v>
      </c>
      <c r="C632">
        <f t="shared" si="28"/>
        <v>71</v>
      </c>
      <c r="D632" t="e" cm="1">
        <f t="array" aca="1" ref="D632" ca="1">INDIRECT("'Uke "&amp;B632&amp;"'!V"&amp;9+C632)</f>
        <v>#REF!</v>
      </c>
      <c r="E632" s="20" t="e" cm="1">
        <f t="array" aca="1" ref="E632" ca="1">INDIRECT("'Uke "&amp;B632&amp;"'!AB"&amp;9+C632)</f>
        <v>#REF!</v>
      </c>
    </row>
    <row r="633" spans="1:5" x14ac:dyDescent="0.25">
      <c r="A633">
        <f t="shared" si="27"/>
        <v>3012</v>
      </c>
      <c r="B633">
        <f t="shared" si="26"/>
        <v>22</v>
      </c>
      <c r="C633">
        <f t="shared" si="28"/>
        <v>72</v>
      </c>
      <c r="D633" t="e" cm="1">
        <f t="array" aca="1" ref="D633" ca="1">INDIRECT("'Uke "&amp;B633&amp;"'!V"&amp;9+C633)</f>
        <v>#REF!</v>
      </c>
      <c r="E633" s="20" t="e" cm="1">
        <f t="array" aca="1" ref="E633" ca="1">INDIRECT("'Uke "&amp;B633&amp;"'!AB"&amp;9+C633)</f>
        <v>#REF!</v>
      </c>
    </row>
    <row r="634" spans="1:5" x14ac:dyDescent="0.25">
      <c r="A634">
        <f t="shared" si="27"/>
        <v>3013</v>
      </c>
      <c r="B634">
        <f t="shared" si="26"/>
        <v>22</v>
      </c>
      <c r="C634">
        <f t="shared" si="28"/>
        <v>73</v>
      </c>
      <c r="D634" t="e" cm="1">
        <f t="array" aca="1" ref="D634" ca="1">INDIRECT("'Uke "&amp;B634&amp;"'!V"&amp;9+C634)</f>
        <v>#REF!</v>
      </c>
      <c r="E634" s="20" t="e" cm="1">
        <f t="array" aca="1" ref="E634" ca="1">INDIRECT("'Uke "&amp;B634&amp;"'!AB"&amp;9+C634)</f>
        <v>#REF!</v>
      </c>
    </row>
    <row r="635" spans="1:5" x14ac:dyDescent="0.25">
      <c r="A635">
        <f t="shared" si="27"/>
        <v>3014</v>
      </c>
      <c r="B635">
        <f t="shared" si="26"/>
        <v>22</v>
      </c>
      <c r="C635">
        <f t="shared" si="28"/>
        <v>74</v>
      </c>
      <c r="D635" t="e" cm="1">
        <f t="array" aca="1" ref="D635" ca="1">INDIRECT("'Uke "&amp;B635&amp;"'!V"&amp;9+C635)</f>
        <v>#REF!</v>
      </c>
      <c r="E635" s="20" t="e" cm="1">
        <f t="array" aca="1" ref="E635" ca="1">INDIRECT("'Uke "&amp;B635&amp;"'!AB"&amp;9+C635)</f>
        <v>#REF!</v>
      </c>
    </row>
    <row r="636" spans="1:5" x14ac:dyDescent="0.25">
      <c r="A636">
        <f t="shared" si="27"/>
        <v>3015</v>
      </c>
      <c r="B636">
        <f t="shared" si="26"/>
        <v>22</v>
      </c>
      <c r="C636">
        <f t="shared" si="28"/>
        <v>75</v>
      </c>
      <c r="D636" t="e" cm="1">
        <f t="array" aca="1" ref="D636" ca="1">INDIRECT("'Uke "&amp;B636&amp;"'!V"&amp;9+C636)</f>
        <v>#REF!</v>
      </c>
      <c r="E636" s="20" t="e" cm="1">
        <f t="array" aca="1" ref="E636" ca="1">INDIRECT("'Uke "&amp;B636&amp;"'!AB"&amp;9+C636)</f>
        <v>#REF!</v>
      </c>
    </row>
    <row r="637" spans="1:5" x14ac:dyDescent="0.25">
      <c r="A637">
        <f t="shared" si="27"/>
        <v>3016</v>
      </c>
      <c r="B637">
        <f t="shared" si="26"/>
        <v>22</v>
      </c>
      <c r="C637">
        <f t="shared" si="28"/>
        <v>76</v>
      </c>
      <c r="D637" t="e" cm="1">
        <f t="array" aca="1" ref="D637" ca="1">INDIRECT("'Uke "&amp;B637&amp;"'!V"&amp;9+C637)</f>
        <v>#REF!</v>
      </c>
      <c r="E637" s="20" t="e" cm="1">
        <f t="array" aca="1" ref="E637" ca="1">INDIRECT("'Uke "&amp;B637&amp;"'!AB"&amp;9+C637)</f>
        <v>#REF!</v>
      </c>
    </row>
    <row r="638" spans="1:5" x14ac:dyDescent="0.25">
      <c r="A638">
        <f t="shared" si="27"/>
        <v>3017</v>
      </c>
      <c r="B638">
        <f t="shared" si="26"/>
        <v>22</v>
      </c>
      <c r="C638">
        <f t="shared" si="28"/>
        <v>77</v>
      </c>
      <c r="D638" t="e" cm="1">
        <f t="array" aca="1" ref="D638" ca="1">INDIRECT("'Uke "&amp;B638&amp;"'!V"&amp;9+C638)</f>
        <v>#REF!</v>
      </c>
      <c r="E638" s="20" t="e" cm="1">
        <f t="array" aca="1" ref="E638" ca="1">INDIRECT("'Uke "&amp;B638&amp;"'!AB"&amp;9+C638)</f>
        <v>#REF!</v>
      </c>
    </row>
    <row r="639" spans="1:5" x14ac:dyDescent="0.25">
      <c r="A639">
        <f t="shared" si="27"/>
        <v>3018</v>
      </c>
      <c r="B639">
        <f t="shared" si="26"/>
        <v>22</v>
      </c>
      <c r="C639">
        <f t="shared" si="28"/>
        <v>78</v>
      </c>
      <c r="D639" t="e" cm="1">
        <f t="array" aca="1" ref="D639" ca="1">INDIRECT("'Uke "&amp;B639&amp;"'!V"&amp;9+C639)</f>
        <v>#REF!</v>
      </c>
      <c r="E639" s="20" t="e" cm="1">
        <f t="array" aca="1" ref="E639" ca="1">INDIRECT("'Uke "&amp;B639&amp;"'!AB"&amp;9+C639)</f>
        <v>#REF!</v>
      </c>
    </row>
    <row r="640" spans="1:5" x14ac:dyDescent="0.25">
      <c r="A640">
        <f t="shared" si="27"/>
        <v>3019</v>
      </c>
      <c r="B640">
        <f t="shared" si="26"/>
        <v>22</v>
      </c>
      <c r="C640">
        <f t="shared" si="28"/>
        <v>79</v>
      </c>
      <c r="D640" t="e" cm="1">
        <f t="array" aca="1" ref="D640" ca="1">INDIRECT("'Uke "&amp;B640&amp;"'!V"&amp;9+C640)</f>
        <v>#REF!</v>
      </c>
      <c r="E640" s="20" t="e" cm="1">
        <f t="array" aca="1" ref="E640" ca="1">INDIRECT("'Uke "&amp;B640&amp;"'!AB"&amp;9+C640)</f>
        <v>#REF!</v>
      </c>
    </row>
    <row r="641" spans="1:5" x14ac:dyDescent="0.25">
      <c r="A641">
        <f t="shared" si="27"/>
        <v>3020</v>
      </c>
      <c r="B641">
        <f t="shared" si="26"/>
        <v>22</v>
      </c>
      <c r="C641">
        <f t="shared" si="28"/>
        <v>80</v>
      </c>
      <c r="D641" t="e" cm="1">
        <f t="array" aca="1" ref="D641" ca="1">INDIRECT("'Uke "&amp;B641&amp;"'!V"&amp;9+C641)</f>
        <v>#REF!</v>
      </c>
      <c r="E641" s="20" t="e" cm="1">
        <f t="array" aca="1" ref="E641" ca="1">INDIRECT("'Uke "&amp;B641&amp;"'!AB"&amp;9+C641)</f>
        <v>#REF!</v>
      </c>
    </row>
    <row r="642" spans="1:5" x14ac:dyDescent="0.25">
      <c r="A642">
        <f t="shared" si="27"/>
        <v>3021</v>
      </c>
      <c r="B642">
        <f t="shared" ref="B642:B705" si="29">INT((A642-1)/140)+1</f>
        <v>22</v>
      </c>
      <c r="C642">
        <f t="shared" si="28"/>
        <v>81</v>
      </c>
      <c r="D642" t="e" cm="1">
        <f t="array" aca="1" ref="D642" ca="1">INDIRECT("'Uke "&amp;B642&amp;"'!V"&amp;9+C642)</f>
        <v>#REF!</v>
      </c>
      <c r="E642" s="20" t="e" cm="1">
        <f t="array" aca="1" ref="E642" ca="1">INDIRECT("'Uke "&amp;B642&amp;"'!AB"&amp;9+C642)</f>
        <v>#REF!</v>
      </c>
    </row>
    <row r="643" spans="1:5" x14ac:dyDescent="0.25">
      <c r="A643">
        <f t="shared" si="27"/>
        <v>3022</v>
      </c>
      <c r="B643">
        <f t="shared" si="29"/>
        <v>22</v>
      </c>
      <c r="C643">
        <f t="shared" si="28"/>
        <v>82</v>
      </c>
      <c r="D643" t="e" cm="1">
        <f t="array" aca="1" ref="D643" ca="1">INDIRECT("'Uke "&amp;B643&amp;"'!V"&amp;9+C643)</f>
        <v>#REF!</v>
      </c>
      <c r="E643" s="20" t="e" cm="1">
        <f t="array" aca="1" ref="E643" ca="1">INDIRECT("'Uke "&amp;B643&amp;"'!AB"&amp;9+C643)</f>
        <v>#REF!</v>
      </c>
    </row>
    <row r="644" spans="1:5" x14ac:dyDescent="0.25">
      <c r="A644">
        <f t="shared" si="27"/>
        <v>3023</v>
      </c>
      <c r="B644">
        <f t="shared" si="29"/>
        <v>22</v>
      </c>
      <c r="C644">
        <f t="shared" si="28"/>
        <v>83</v>
      </c>
      <c r="D644" t="e" cm="1">
        <f t="array" aca="1" ref="D644" ca="1">INDIRECT("'Uke "&amp;B644&amp;"'!V"&amp;9+C644)</f>
        <v>#REF!</v>
      </c>
      <c r="E644" s="20" t="e" cm="1">
        <f t="array" aca="1" ref="E644" ca="1">INDIRECT("'Uke "&amp;B644&amp;"'!AB"&amp;9+C644)</f>
        <v>#REF!</v>
      </c>
    </row>
    <row r="645" spans="1:5" x14ac:dyDescent="0.25">
      <c r="A645">
        <f t="shared" si="27"/>
        <v>3024</v>
      </c>
      <c r="B645">
        <f t="shared" si="29"/>
        <v>22</v>
      </c>
      <c r="C645">
        <f t="shared" si="28"/>
        <v>84</v>
      </c>
      <c r="D645" t="e" cm="1">
        <f t="array" aca="1" ref="D645" ca="1">INDIRECT("'Uke "&amp;B645&amp;"'!V"&amp;9+C645)</f>
        <v>#REF!</v>
      </c>
      <c r="E645" s="20" t="e" cm="1">
        <f t="array" aca="1" ref="E645" ca="1">INDIRECT("'Uke "&amp;B645&amp;"'!AB"&amp;9+C645)</f>
        <v>#REF!</v>
      </c>
    </row>
    <row r="646" spans="1:5" x14ac:dyDescent="0.25">
      <c r="A646">
        <f t="shared" si="27"/>
        <v>3025</v>
      </c>
      <c r="B646">
        <f t="shared" si="29"/>
        <v>22</v>
      </c>
      <c r="C646">
        <f t="shared" si="28"/>
        <v>85</v>
      </c>
      <c r="D646" t="e" cm="1">
        <f t="array" aca="1" ref="D646" ca="1">INDIRECT("'Uke "&amp;B646&amp;"'!V"&amp;9+C646)</f>
        <v>#REF!</v>
      </c>
      <c r="E646" s="20" t="e" cm="1">
        <f t="array" aca="1" ref="E646" ca="1">INDIRECT("'Uke "&amp;B646&amp;"'!AB"&amp;9+C646)</f>
        <v>#REF!</v>
      </c>
    </row>
    <row r="647" spans="1:5" x14ac:dyDescent="0.25">
      <c r="A647">
        <f t="shared" si="27"/>
        <v>3026</v>
      </c>
      <c r="B647">
        <f t="shared" si="29"/>
        <v>22</v>
      </c>
      <c r="C647">
        <f t="shared" si="28"/>
        <v>86</v>
      </c>
      <c r="D647" t="e" cm="1">
        <f t="array" aca="1" ref="D647" ca="1">INDIRECT("'Uke "&amp;B647&amp;"'!V"&amp;9+C647)</f>
        <v>#REF!</v>
      </c>
      <c r="E647" s="20" t="e" cm="1">
        <f t="array" aca="1" ref="E647" ca="1">INDIRECT("'Uke "&amp;B647&amp;"'!AB"&amp;9+C647)</f>
        <v>#REF!</v>
      </c>
    </row>
    <row r="648" spans="1:5" x14ac:dyDescent="0.25">
      <c r="A648">
        <f t="shared" si="27"/>
        <v>3027</v>
      </c>
      <c r="B648">
        <f t="shared" si="29"/>
        <v>22</v>
      </c>
      <c r="C648">
        <f t="shared" si="28"/>
        <v>87</v>
      </c>
      <c r="D648" t="e" cm="1">
        <f t="array" aca="1" ref="D648" ca="1">INDIRECT("'Uke "&amp;B648&amp;"'!V"&amp;9+C648)</f>
        <v>#REF!</v>
      </c>
      <c r="E648" s="20" t="e" cm="1">
        <f t="array" aca="1" ref="E648" ca="1">INDIRECT("'Uke "&amp;B648&amp;"'!AB"&amp;9+C648)</f>
        <v>#REF!</v>
      </c>
    </row>
    <row r="649" spans="1:5" x14ac:dyDescent="0.25">
      <c r="A649">
        <f t="shared" si="27"/>
        <v>3028</v>
      </c>
      <c r="B649">
        <f t="shared" si="29"/>
        <v>22</v>
      </c>
      <c r="C649">
        <f t="shared" si="28"/>
        <v>88</v>
      </c>
      <c r="D649" t="e" cm="1">
        <f t="array" aca="1" ref="D649" ca="1">INDIRECT("'Uke "&amp;B649&amp;"'!V"&amp;9+C649)</f>
        <v>#REF!</v>
      </c>
      <c r="E649" s="20" t="e" cm="1">
        <f t="array" aca="1" ref="E649" ca="1">INDIRECT("'Uke "&amp;B649&amp;"'!AB"&amp;9+C649)</f>
        <v>#REF!</v>
      </c>
    </row>
    <row r="650" spans="1:5" x14ac:dyDescent="0.25">
      <c r="A650">
        <f t="shared" si="27"/>
        <v>3029</v>
      </c>
      <c r="B650">
        <f t="shared" si="29"/>
        <v>22</v>
      </c>
      <c r="C650">
        <f t="shared" si="28"/>
        <v>89</v>
      </c>
      <c r="D650" t="e" cm="1">
        <f t="array" aca="1" ref="D650" ca="1">INDIRECT("'Uke "&amp;B650&amp;"'!V"&amp;9+C650)</f>
        <v>#REF!</v>
      </c>
      <c r="E650" s="20" t="e" cm="1">
        <f t="array" aca="1" ref="E650" ca="1">INDIRECT("'Uke "&amp;B650&amp;"'!AB"&amp;9+C650)</f>
        <v>#REF!</v>
      </c>
    </row>
    <row r="651" spans="1:5" x14ac:dyDescent="0.25">
      <c r="A651">
        <f t="shared" si="27"/>
        <v>3030</v>
      </c>
      <c r="B651">
        <f t="shared" si="29"/>
        <v>22</v>
      </c>
      <c r="C651">
        <f t="shared" si="28"/>
        <v>90</v>
      </c>
      <c r="D651" t="e" cm="1">
        <f t="array" aca="1" ref="D651" ca="1">INDIRECT("'Uke "&amp;B651&amp;"'!V"&amp;9+C651)</f>
        <v>#REF!</v>
      </c>
      <c r="E651" s="20" t="e" cm="1">
        <f t="array" aca="1" ref="E651" ca="1">INDIRECT("'Uke "&amp;B651&amp;"'!AB"&amp;9+C651)</f>
        <v>#REF!</v>
      </c>
    </row>
    <row r="652" spans="1:5" x14ac:dyDescent="0.25">
      <c r="A652">
        <f t="shared" si="27"/>
        <v>3031</v>
      </c>
      <c r="B652">
        <f t="shared" si="29"/>
        <v>22</v>
      </c>
      <c r="C652">
        <f t="shared" si="28"/>
        <v>91</v>
      </c>
      <c r="D652" t="e" cm="1">
        <f t="array" aca="1" ref="D652" ca="1">INDIRECT("'Uke "&amp;B652&amp;"'!V"&amp;9+C652)</f>
        <v>#REF!</v>
      </c>
      <c r="E652" s="20" t="e" cm="1">
        <f t="array" aca="1" ref="E652" ca="1">INDIRECT("'Uke "&amp;B652&amp;"'!AB"&amp;9+C652)</f>
        <v>#REF!</v>
      </c>
    </row>
    <row r="653" spans="1:5" x14ac:dyDescent="0.25">
      <c r="A653">
        <f t="shared" si="27"/>
        <v>3032</v>
      </c>
      <c r="B653">
        <f t="shared" si="29"/>
        <v>22</v>
      </c>
      <c r="C653">
        <f t="shared" si="28"/>
        <v>92</v>
      </c>
      <c r="D653" t="e" cm="1">
        <f t="array" aca="1" ref="D653" ca="1">INDIRECT("'Uke "&amp;B653&amp;"'!V"&amp;9+C653)</f>
        <v>#REF!</v>
      </c>
      <c r="E653" s="20" t="e" cm="1">
        <f t="array" aca="1" ref="E653" ca="1">INDIRECT("'Uke "&amp;B653&amp;"'!AB"&amp;9+C653)</f>
        <v>#REF!</v>
      </c>
    </row>
    <row r="654" spans="1:5" x14ac:dyDescent="0.25">
      <c r="A654">
        <f t="shared" si="27"/>
        <v>3033</v>
      </c>
      <c r="B654">
        <f t="shared" si="29"/>
        <v>22</v>
      </c>
      <c r="C654">
        <f t="shared" si="28"/>
        <v>93</v>
      </c>
      <c r="D654" t="e" cm="1">
        <f t="array" aca="1" ref="D654" ca="1">INDIRECT("'Uke "&amp;B654&amp;"'!V"&amp;9+C654)</f>
        <v>#REF!</v>
      </c>
      <c r="E654" s="20" t="e" cm="1">
        <f t="array" aca="1" ref="E654" ca="1">INDIRECT("'Uke "&amp;B654&amp;"'!AB"&amp;9+C654)</f>
        <v>#REF!</v>
      </c>
    </row>
    <row r="655" spans="1:5" x14ac:dyDescent="0.25">
      <c r="A655">
        <f t="shared" si="27"/>
        <v>3034</v>
      </c>
      <c r="B655">
        <f t="shared" si="29"/>
        <v>22</v>
      </c>
      <c r="C655">
        <f t="shared" si="28"/>
        <v>94</v>
      </c>
      <c r="D655" t="e" cm="1">
        <f t="array" aca="1" ref="D655" ca="1">INDIRECT("'Uke "&amp;B655&amp;"'!V"&amp;9+C655)</f>
        <v>#REF!</v>
      </c>
      <c r="E655" s="20" t="e" cm="1">
        <f t="array" aca="1" ref="E655" ca="1">INDIRECT("'Uke "&amp;B655&amp;"'!AB"&amp;9+C655)</f>
        <v>#REF!</v>
      </c>
    </row>
    <row r="656" spans="1:5" x14ac:dyDescent="0.25">
      <c r="A656">
        <f t="shared" si="27"/>
        <v>3035</v>
      </c>
      <c r="B656">
        <f t="shared" si="29"/>
        <v>22</v>
      </c>
      <c r="C656">
        <f t="shared" si="28"/>
        <v>95</v>
      </c>
      <c r="D656" t="e" cm="1">
        <f t="array" aca="1" ref="D656" ca="1">INDIRECT("'Uke "&amp;B656&amp;"'!V"&amp;9+C656)</f>
        <v>#REF!</v>
      </c>
      <c r="E656" s="20" t="e" cm="1">
        <f t="array" aca="1" ref="E656" ca="1">INDIRECT("'Uke "&amp;B656&amp;"'!AB"&amp;9+C656)</f>
        <v>#REF!</v>
      </c>
    </row>
    <row r="657" spans="1:5" x14ac:dyDescent="0.25">
      <c r="A657">
        <f t="shared" ref="A657:A720" si="30">A656+1</f>
        <v>3036</v>
      </c>
      <c r="B657">
        <f t="shared" si="29"/>
        <v>22</v>
      </c>
      <c r="C657">
        <f t="shared" ref="C657:C720" si="31">MOD(A657-1,140)+1</f>
        <v>96</v>
      </c>
      <c r="D657" t="e" cm="1">
        <f t="array" aca="1" ref="D657" ca="1">INDIRECT("'Uke "&amp;B657&amp;"'!V"&amp;9+C657)</f>
        <v>#REF!</v>
      </c>
      <c r="E657" s="20" t="e" cm="1">
        <f t="array" aca="1" ref="E657" ca="1">INDIRECT("'Uke "&amp;B657&amp;"'!AB"&amp;9+C657)</f>
        <v>#REF!</v>
      </c>
    </row>
    <row r="658" spans="1:5" x14ac:dyDescent="0.25">
      <c r="A658">
        <f t="shared" si="30"/>
        <v>3037</v>
      </c>
      <c r="B658">
        <f t="shared" si="29"/>
        <v>22</v>
      </c>
      <c r="C658">
        <f t="shared" si="31"/>
        <v>97</v>
      </c>
      <c r="D658" t="e" cm="1">
        <f t="array" aca="1" ref="D658" ca="1">INDIRECT("'Uke "&amp;B658&amp;"'!V"&amp;9+C658)</f>
        <v>#REF!</v>
      </c>
      <c r="E658" s="20" t="e" cm="1">
        <f t="array" aca="1" ref="E658" ca="1">INDIRECT("'Uke "&amp;B658&amp;"'!AB"&amp;9+C658)</f>
        <v>#REF!</v>
      </c>
    </row>
    <row r="659" spans="1:5" x14ac:dyDescent="0.25">
      <c r="A659">
        <f t="shared" si="30"/>
        <v>3038</v>
      </c>
      <c r="B659">
        <f t="shared" si="29"/>
        <v>22</v>
      </c>
      <c r="C659">
        <f t="shared" si="31"/>
        <v>98</v>
      </c>
      <c r="D659" t="e" cm="1">
        <f t="array" aca="1" ref="D659" ca="1">INDIRECT("'Uke "&amp;B659&amp;"'!V"&amp;9+C659)</f>
        <v>#REF!</v>
      </c>
      <c r="E659" s="20" t="e" cm="1">
        <f t="array" aca="1" ref="E659" ca="1">INDIRECT("'Uke "&amp;B659&amp;"'!AB"&amp;9+C659)</f>
        <v>#REF!</v>
      </c>
    </row>
    <row r="660" spans="1:5" x14ac:dyDescent="0.25">
      <c r="A660">
        <f t="shared" si="30"/>
        <v>3039</v>
      </c>
      <c r="B660">
        <f t="shared" si="29"/>
        <v>22</v>
      </c>
      <c r="C660">
        <f t="shared" si="31"/>
        <v>99</v>
      </c>
      <c r="D660" t="e" cm="1">
        <f t="array" aca="1" ref="D660" ca="1">INDIRECT("'Uke "&amp;B660&amp;"'!V"&amp;9+C660)</f>
        <v>#REF!</v>
      </c>
      <c r="E660" s="20" t="e" cm="1">
        <f t="array" aca="1" ref="E660" ca="1">INDIRECT("'Uke "&amp;B660&amp;"'!AB"&amp;9+C660)</f>
        <v>#REF!</v>
      </c>
    </row>
    <row r="661" spans="1:5" x14ac:dyDescent="0.25">
      <c r="A661">
        <f t="shared" si="30"/>
        <v>3040</v>
      </c>
      <c r="B661">
        <f t="shared" si="29"/>
        <v>22</v>
      </c>
      <c r="C661">
        <f t="shared" si="31"/>
        <v>100</v>
      </c>
      <c r="D661" t="e" cm="1">
        <f t="array" aca="1" ref="D661" ca="1">INDIRECT("'Uke "&amp;B661&amp;"'!V"&amp;9+C661)</f>
        <v>#REF!</v>
      </c>
      <c r="E661" s="20" t="e" cm="1">
        <f t="array" aca="1" ref="E661" ca="1">INDIRECT("'Uke "&amp;B661&amp;"'!AB"&amp;9+C661)</f>
        <v>#REF!</v>
      </c>
    </row>
    <row r="662" spans="1:5" x14ac:dyDescent="0.25">
      <c r="A662">
        <f t="shared" si="30"/>
        <v>3041</v>
      </c>
      <c r="B662">
        <f t="shared" si="29"/>
        <v>22</v>
      </c>
      <c r="C662">
        <f t="shared" si="31"/>
        <v>101</v>
      </c>
      <c r="D662" t="e" cm="1">
        <f t="array" aca="1" ref="D662" ca="1">INDIRECT("'Uke "&amp;B662&amp;"'!V"&amp;9+C662)</f>
        <v>#REF!</v>
      </c>
      <c r="E662" s="20" t="e" cm="1">
        <f t="array" aca="1" ref="E662" ca="1">INDIRECT("'Uke "&amp;B662&amp;"'!AB"&amp;9+C662)</f>
        <v>#REF!</v>
      </c>
    </row>
    <row r="663" spans="1:5" x14ac:dyDescent="0.25">
      <c r="A663">
        <f t="shared" si="30"/>
        <v>3042</v>
      </c>
      <c r="B663">
        <f t="shared" si="29"/>
        <v>22</v>
      </c>
      <c r="C663">
        <f t="shared" si="31"/>
        <v>102</v>
      </c>
      <c r="D663" t="e" cm="1">
        <f t="array" aca="1" ref="D663" ca="1">INDIRECT("'Uke "&amp;B663&amp;"'!V"&amp;9+C663)</f>
        <v>#REF!</v>
      </c>
      <c r="E663" s="20" t="e" cm="1">
        <f t="array" aca="1" ref="E663" ca="1">INDIRECT("'Uke "&amp;B663&amp;"'!AB"&amp;9+C663)</f>
        <v>#REF!</v>
      </c>
    </row>
    <row r="664" spans="1:5" x14ac:dyDescent="0.25">
      <c r="A664">
        <f t="shared" si="30"/>
        <v>3043</v>
      </c>
      <c r="B664">
        <f t="shared" si="29"/>
        <v>22</v>
      </c>
      <c r="C664">
        <f t="shared" si="31"/>
        <v>103</v>
      </c>
      <c r="D664" t="e" cm="1">
        <f t="array" aca="1" ref="D664" ca="1">INDIRECT("'Uke "&amp;B664&amp;"'!V"&amp;9+C664)</f>
        <v>#REF!</v>
      </c>
      <c r="E664" s="20" t="e" cm="1">
        <f t="array" aca="1" ref="E664" ca="1">INDIRECT("'Uke "&amp;B664&amp;"'!AB"&amp;9+C664)</f>
        <v>#REF!</v>
      </c>
    </row>
    <row r="665" spans="1:5" x14ac:dyDescent="0.25">
      <c r="A665">
        <f t="shared" si="30"/>
        <v>3044</v>
      </c>
      <c r="B665">
        <f t="shared" si="29"/>
        <v>22</v>
      </c>
      <c r="C665">
        <f t="shared" si="31"/>
        <v>104</v>
      </c>
      <c r="D665" t="e" cm="1">
        <f t="array" aca="1" ref="D665" ca="1">INDIRECT("'Uke "&amp;B665&amp;"'!V"&amp;9+C665)</f>
        <v>#REF!</v>
      </c>
      <c r="E665" s="20" t="e" cm="1">
        <f t="array" aca="1" ref="E665" ca="1">INDIRECT("'Uke "&amp;B665&amp;"'!AB"&amp;9+C665)</f>
        <v>#REF!</v>
      </c>
    </row>
    <row r="666" spans="1:5" x14ac:dyDescent="0.25">
      <c r="A666">
        <f t="shared" si="30"/>
        <v>3045</v>
      </c>
      <c r="B666">
        <f t="shared" si="29"/>
        <v>22</v>
      </c>
      <c r="C666">
        <f t="shared" si="31"/>
        <v>105</v>
      </c>
      <c r="D666" t="e" cm="1">
        <f t="array" aca="1" ref="D666" ca="1">INDIRECT("'Uke "&amp;B666&amp;"'!V"&amp;9+C666)</f>
        <v>#REF!</v>
      </c>
      <c r="E666" s="20" t="e" cm="1">
        <f t="array" aca="1" ref="E666" ca="1">INDIRECT("'Uke "&amp;B666&amp;"'!AB"&amp;9+C666)</f>
        <v>#REF!</v>
      </c>
    </row>
    <row r="667" spans="1:5" x14ac:dyDescent="0.25">
      <c r="A667">
        <f t="shared" si="30"/>
        <v>3046</v>
      </c>
      <c r="B667">
        <f t="shared" si="29"/>
        <v>22</v>
      </c>
      <c r="C667">
        <f t="shared" si="31"/>
        <v>106</v>
      </c>
      <c r="D667" t="e" cm="1">
        <f t="array" aca="1" ref="D667" ca="1">INDIRECT("'Uke "&amp;B667&amp;"'!V"&amp;9+C667)</f>
        <v>#REF!</v>
      </c>
      <c r="E667" s="20" t="e" cm="1">
        <f t="array" aca="1" ref="E667" ca="1">INDIRECT("'Uke "&amp;B667&amp;"'!AB"&amp;9+C667)</f>
        <v>#REF!</v>
      </c>
    </row>
    <row r="668" spans="1:5" x14ac:dyDescent="0.25">
      <c r="A668">
        <f t="shared" si="30"/>
        <v>3047</v>
      </c>
      <c r="B668">
        <f t="shared" si="29"/>
        <v>22</v>
      </c>
      <c r="C668">
        <f t="shared" si="31"/>
        <v>107</v>
      </c>
      <c r="D668" t="e" cm="1">
        <f t="array" aca="1" ref="D668" ca="1">INDIRECT("'Uke "&amp;B668&amp;"'!V"&amp;9+C668)</f>
        <v>#REF!</v>
      </c>
      <c r="E668" s="20" t="e" cm="1">
        <f t="array" aca="1" ref="E668" ca="1">INDIRECT("'Uke "&amp;B668&amp;"'!AB"&amp;9+C668)</f>
        <v>#REF!</v>
      </c>
    </row>
    <row r="669" spans="1:5" x14ac:dyDescent="0.25">
      <c r="A669">
        <f t="shared" si="30"/>
        <v>3048</v>
      </c>
      <c r="B669">
        <f t="shared" si="29"/>
        <v>22</v>
      </c>
      <c r="C669">
        <f t="shared" si="31"/>
        <v>108</v>
      </c>
      <c r="D669" t="e" cm="1">
        <f t="array" aca="1" ref="D669" ca="1">INDIRECT("'Uke "&amp;B669&amp;"'!V"&amp;9+C669)</f>
        <v>#REF!</v>
      </c>
      <c r="E669" s="20" t="e" cm="1">
        <f t="array" aca="1" ref="E669" ca="1">INDIRECT("'Uke "&amp;B669&amp;"'!AB"&amp;9+C669)</f>
        <v>#REF!</v>
      </c>
    </row>
    <row r="670" spans="1:5" x14ac:dyDescent="0.25">
      <c r="A670">
        <f t="shared" si="30"/>
        <v>3049</v>
      </c>
      <c r="B670">
        <f t="shared" si="29"/>
        <v>22</v>
      </c>
      <c r="C670">
        <f t="shared" si="31"/>
        <v>109</v>
      </c>
      <c r="D670" t="e" cm="1">
        <f t="array" aca="1" ref="D670" ca="1">INDIRECT("'Uke "&amp;B670&amp;"'!V"&amp;9+C670)</f>
        <v>#REF!</v>
      </c>
      <c r="E670" s="20" t="e" cm="1">
        <f t="array" aca="1" ref="E670" ca="1">INDIRECT("'Uke "&amp;B670&amp;"'!AB"&amp;9+C670)</f>
        <v>#REF!</v>
      </c>
    </row>
    <row r="671" spans="1:5" x14ac:dyDescent="0.25">
      <c r="A671">
        <f t="shared" si="30"/>
        <v>3050</v>
      </c>
      <c r="B671">
        <f t="shared" si="29"/>
        <v>22</v>
      </c>
      <c r="C671">
        <f t="shared" si="31"/>
        <v>110</v>
      </c>
      <c r="D671" t="e" cm="1">
        <f t="array" aca="1" ref="D671" ca="1">INDIRECT("'Uke "&amp;B671&amp;"'!V"&amp;9+C671)</f>
        <v>#REF!</v>
      </c>
      <c r="E671" s="20" t="e" cm="1">
        <f t="array" aca="1" ref="E671" ca="1">INDIRECT("'Uke "&amp;B671&amp;"'!AB"&amp;9+C671)</f>
        <v>#REF!</v>
      </c>
    </row>
    <row r="672" spans="1:5" x14ac:dyDescent="0.25">
      <c r="A672">
        <f t="shared" si="30"/>
        <v>3051</v>
      </c>
      <c r="B672">
        <f t="shared" si="29"/>
        <v>22</v>
      </c>
      <c r="C672">
        <f t="shared" si="31"/>
        <v>111</v>
      </c>
      <c r="D672" t="e" cm="1">
        <f t="array" aca="1" ref="D672" ca="1">INDIRECT("'Uke "&amp;B672&amp;"'!V"&amp;9+C672)</f>
        <v>#REF!</v>
      </c>
      <c r="E672" s="20" t="e" cm="1">
        <f t="array" aca="1" ref="E672" ca="1">INDIRECT("'Uke "&amp;B672&amp;"'!AB"&amp;9+C672)</f>
        <v>#REF!</v>
      </c>
    </row>
    <row r="673" spans="1:5" x14ac:dyDescent="0.25">
      <c r="A673">
        <f t="shared" si="30"/>
        <v>3052</v>
      </c>
      <c r="B673">
        <f t="shared" si="29"/>
        <v>22</v>
      </c>
      <c r="C673">
        <f t="shared" si="31"/>
        <v>112</v>
      </c>
      <c r="D673" t="e" cm="1">
        <f t="array" aca="1" ref="D673" ca="1">INDIRECT("'Uke "&amp;B673&amp;"'!V"&amp;9+C673)</f>
        <v>#REF!</v>
      </c>
      <c r="E673" s="20" t="e" cm="1">
        <f t="array" aca="1" ref="E673" ca="1">INDIRECT("'Uke "&amp;B673&amp;"'!AB"&amp;9+C673)</f>
        <v>#REF!</v>
      </c>
    </row>
    <row r="674" spans="1:5" x14ac:dyDescent="0.25">
      <c r="A674">
        <f t="shared" si="30"/>
        <v>3053</v>
      </c>
      <c r="B674">
        <f t="shared" si="29"/>
        <v>22</v>
      </c>
      <c r="C674">
        <f t="shared" si="31"/>
        <v>113</v>
      </c>
      <c r="D674" t="e" cm="1">
        <f t="array" aca="1" ref="D674" ca="1">INDIRECT("'Uke "&amp;B674&amp;"'!V"&amp;9+C674)</f>
        <v>#REF!</v>
      </c>
      <c r="E674" s="20" t="e" cm="1">
        <f t="array" aca="1" ref="E674" ca="1">INDIRECT("'Uke "&amp;B674&amp;"'!AB"&amp;9+C674)</f>
        <v>#REF!</v>
      </c>
    </row>
    <row r="675" spans="1:5" x14ac:dyDescent="0.25">
      <c r="A675">
        <f t="shared" si="30"/>
        <v>3054</v>
      </c>
      <c r="B675">
        <f t="shared" si="29"/>
        <v>22</v>
      </c>
      <c r="C675">
        <f t="shared" si="31"/>
        <v>114</v>
      </c>
      <c r="D675" t="e" cm="1">
        <f t="array" aca="1" ref="D675" ca="1">INDIRECT("'Uke "&amp;B675&amp;"'!V"&amp;9+C675)</f>
        <v>#REF!</v>
      </c>
      <c r="E675" s="20" t="e" cm="1">
        <f t="array" aca="1" ref="E675" ca="1">INDIRECT("'Uke "&amp;B675&amp;"'!AB"&amp;9+C675)</f>
        <v>#REF!</v>
      </c>
    </row>
    <row r="676" spans="1:5" x14ac:dyDescent="0.25">
      <c r="A676">
        <f t="shared" si="30"/>
        <v>3055</v>
      </c>
      <c r="B676">
        <f t="shared" si="29"/>
        <v>22</v>
      </c>
      <c r="C676">
        <f t="shared" si="31"/>
        <v>115</v>
      </c>
      <c r="D676" t="e" cm="1">
        <f t="array" aca="1" ref="D676" ca="1">INDIRECT("'Uke "&amp;B676&amp;"'!V"&amp;9+C676)</f>
        <v>#REF!</v>
      </c>
      <c r="E676" s="20" t="e" cm="1">
        <f t="array" aca="1" ref="E676" ca="1">INDIRECT("'Uke "&amp;B676&amp;"'!AB"&amp;9+C676)</f>
        <v>#REF!</v>
      </c>
    </row>
    <row r="677" spans="1:5" x14ac:dyDescent="0.25">
      <c r="A677">
        <f t="shared" si="30"/>
        <v>3056</v>
      </c>
      <c r="B677">
        <f t="shared" si="29"/>
        <v>22</v>
      </c>
      <c r="C677">
        <f t="shared" si="31"/>
        <v>116</v>
      </c>
      <c r="D677" t="e" cm="1">
        <f t="array" aca="1" ref="D677" ca="1">INDIRECT("'Uke "&amp;B677&amp;"'!V"&amp;9+C677)</f>
        <v>#REF!</v>
      </c>
      <c r="E677" s="20" t="e" cm="1">
        <f t="array" aca="1" ref="E677" ca="1">INDIRECT("'Uke "&amp;B677&amp;"'!AB"&amp;9+C677)</f>
        <v>#REF!</v>
      </c>
    </row>
    <row r="678" spans="1:5" x14ac:dyDescent="0.25">
      <c r="A678">
        <f t="shared" si="30"/>
        <v>3057</v>
      </c>
      <c r="B678">
        <f t="shared" si="29"/>
        <v>22</v>
      </c>
      <c r="C678">
        <f t="shared" si="31"/>
        <v>117</v>
      </c>
      <c r="D678" t="e" cm="1">
        <f t="array" aca="1" ref="D678" ca="1">INDIRECT("'Uke "&amp;B678&amp;"'!V"&amp;9+C678)</f>
        <v>#REF!</v>
      </c>
      <c r="E678" s="20" t="e" cm="1">
        <f t="array" aca="1" ref="E678" ca="1">INDIRECT("'Uke "&amp;B678&amp;"'!AB"&amp;9+C678)</f>
        <v>#REF!</v>
      </c>
    </row>
    <row r="679" spans="1:5" x14ac:dyDescent="0.25">
      <c r="A679">
        <f t="shared" si="30"/>
        <v>3058</v>
      </c>
      <c r="B679">
        <f t="shared" si="29"/>
        <v>22</v>
      </c>
      <c r="C679">
        <f t="shared" si="31"/>
        <v>118</v>
      </c>
      <c r="D679" t="e" cm="1">
        <f t="array" aca="1" ref="D679" ca="1">INDIRECT("'Uke "&amp;B679&amp;"'!V"&amp;9+C679)</f>
        <v>#REF!</v>
      </c>
      <c r="E679" s="20" t="e" cm="1">
        <f t="array" aca="1" ref="E679" ca="1">INDIRECT("'Uke "&amp;B679&amp;"'!AB"&amp;9+C679)</f>
        <v>#REF!</v>
      </c>
    </row>
    <row r="680" spans="1:5" x14ac:dyDescent="0.25">
      <c r="A680">
        <f t="shared" si="30"/>
        <v>3059</v>
      </c>
      <c r="B680">
        <f t="shared" si="29"/>
        <v>22</v>
      </c>
      <c r="C680">
        <f t="shared" si="31"/>
        <v>119</v>
      </c>
      <c r="D680" t="e" cm="1">
        <f t="array" aca="1" ref="D680" ca="1">INDIRECT("'Uke "&amp;B680&amp;"'!V"&amp;9+C680)</f>
        <v>#REF!</v>
      </c>
      <c r="E680" s="20" t="e" cm="1">
        <f t="array" aca="1" ref="E680" ca="1">INDIRECT("'Uke "&amp;B680&amp;"'!AB"&amp;9+C680)</f>
        <v>#REF!</v>
      </c>
    </row>
    <row r="681" spans="1:5" x14ac:dyDescent="0.25">
      <c r="A681">
        <f t="shared" si="30"/>
        <v>3060</v>
      </c>
      <c r="B681">
        <f t="shared" si="29"/>
        <v>22</v>
      </c>
      <c r="C681">
        <f t="shared" si="31"/>
        <v>120</v>
      </c>
      <c r="D681" t="e" cm="1">
        <f t="array" aca="1" ref="D681" ca="1">INDIRECT("'Uke "&amp;B681&amp;"'!V"&amp;9+C681)</f>
        <v>#REF!</v>
      </c>
      <c r="E681" s="20" t="e" cm="1">
        <f t="array" aca="1" ref="E681" ca="1">INDIRECT("'Uke "&amp;B681&amp;"'!AB"&amp;9+C681)</f>
        <v>#REF!</v>
      </c>
    </row>
    <row r="682" spans="1:5" x14ac:dyDescent="0.25">
      <c r="A682">
        <f t="shared" si="30"/>
        <v>3061</v>
      </c>
      <c r="B682">
        <f t="shared" si="29"/>
        <v>22</v>
      </c>
      <c r="C682">
        <f t="shared" si="31"/>
        <v>121</v>
      </c>
      <c r="D682" t="e" cm="1">
        <f t="array" aca="1" ref="D682" ca="1">INDIRECT("'Uke "&amp;B682&amp;"'!V"&amp;9+C682)</f>
        <v>#REF!</v>
      </c>
      <c r="E682" s="20" t="e" cm="1">
        <f t="array" aca="1" ref="E682" ca="1">INDIRECT("'Uke "&amp;B682&amp;"'!AB"&amp;9+C682)</f>
        <v>#REF!</v>
      </c>
    </row>
    <row r="683" spans="1:5" x14ac:dyDescent="0.25">
      <c r="A683">
        <f t="shared" si="30"/>
        <v>3062</v>
      </c>
      <c r="B683">
        <f t="shared" si="29"/>
        <v>22</v>
      </c>
      <c r="C683">
        <f t="shared" si="31"/>
        <v>122</v>
      </c>
      <c r="D683" t="e" cm="1">
        <f t="array" aca="1" ref="D683" ca="1">INDIRECT("'Uke "&amp;B683&amp;"'!V"&amp;9+C683)</f>
        <v>#REF!</v>
      </c>
      <c r="E683" s="20" t="e" cm="1">
        <f t="array" aca="1" ref="E683" ca="1">INDIRECT("'Uke "&amp;B683&amp;"'!AB"&amp;9+C683)</f>
        <v>#REF!</v>
      </c>
    </row>
    <row r="684" spans="1:5" x14ac:dyDescent="0.25">
      <c r="A684">
        <f t="shared" si="30"/>
        <v>3063</v>
      </c>
      <c r="B684">
        <f t="shared" si="29"/>
        <v>22</v>
      </c>
      <c r="C684">
        <f t="shared" si="31"/>
        <v>123</v>
      </c>
      <c r="D684" t="e" cm="1">
        <f t="array" aca="1" ref="D684" ca="1">INDIRECT("'Uke "&amp;B684&amp;"'!V"&amp;9+C684)</f>
        <v>#REF!</v>
      </c>
      <c r="E684" s="20" t="e" cm="1">
        <f t="array" aca="1" ref="E684" ca="1">INDIRECT("'Uke "&amp;B684&amp;"'!AB"&amp;9+C684)</f>
        <v>#REF!</v>
      </c>
    </row>
    <row r="685" spans="1:5" x14ac:dyDescent="0.25">
      <c r="A685">
        <f t="shared" si="30"/>
        <v>3064</v>
      </c>
      <c r="B685">
        <f t="shared" si="29"/>
        <v>22</v>
      </c>
      <c r="C685">
        <f t="shared" si="31"/>
        <v>124</v>
      </c>
      <c r="D685" t="e" cm="1">
        <f t="array" aca="1" ref="D685" ca="1">INDIRECT("'Uke "&amp;B685&amp;"'!V"&amp;9+C685)</f>
        <v>#REF!</v>
      </c>
      <c r="E685" s="20" t="e" cm="1">
        <f t="array" aca="1" ref="E685" ca="1">INDIRECT("'Uke "&amp;B685&amp;"'!AB"&amp;9+C685)</f>
        <v>#REF!</v>
      </c>
    </row>
    <row r="686" spans="1:5" x14ac:dyDescent="0.25">
      <c r="A686">
        <f t="shared" si="30"/>
        <v>3065</v>
      </c>
      <c r="B686">
        <f t="shared" si="29"/>
        <v>22</v>
      </c>
      <c r="C686">
        <f t="shared" si="31"/>
        <v>125</v>
      </c>
      <c r="D686" t="e" cm="1">
        <f t="array" aca="1" ref="D686" ca="1">INDIRECT("'Uke "&amp;B686&amp;"'!V"&amp;9+C686)</f>
        <v>#REF!</v>
      </c>
      <c r="E686" s="20" t="e" cm="1">
        <f t="array" aca="1" ref="E686" ca="1">INDIRECT("'Uke "&amp;B686&amp;"'!AB"&amp;9+C686)</f>
        <v>#REF!</v>
      </c>
    </row>
    <row r="687" spans="1:5" x14ac:dyDescent="0.25">
      <c r="A687">
        <f t="shared" si="30"/>
        <v>3066</v>
      </c>
      <c r="B687">
        <f t="shared" si="29"/>
        <v>22</v>
      </c>
      <c r="C687">
        <f t="shared" si="31"/>
        <v>126</v>
      </c>
      <c r="D687" t="e" cm="1">
        <f t="array" aca="1" ref="D687" ca="1">INDIRECT("'Uke "&amp;B687&amp;"'!V"&amp;9+C687)</f>
        <v>#REF!</v>
      </c>
      <c r="E687" s="20" t="e" cm="1">
        <f t="array" aca="1" ref="E687" ca="1">INDIRECT("'Uke "&amp;B687&amp;"'!AB"&amp;9+C687)</f>
        <v>#REF!</v>
      </c>
    </row>
    <row r="688" spans="1:5" x14ac:dyDescent="0.25">
      <c r="A688">
        <f t="shared" si="30"/>
        <v>3067</v>
      </c>
      <c r="B688">
        <f t="shared" si="29"/>
        <v>22</v>
      </c>
      <c r="C688">
        <f t="shared" si="31"/>
        <v>127</v>
      </c>
      <c r="D688" t="e" cm="1">
        <f t="array" aca="1" ref="D688" ca="1">INDIRECT("'Uke "&amp;B688&amp;"'!V"&amp;9+C688)</f>
        <v>#REF!</v>
      </c>
      <c r="E688" s="20" t="e" cm="1">
        <f t="array" aca="1" ref="E688" ca="1">INDIRECT("'Uke "&amp;B688&amp;"'!AB"&amp;9+C688)</f>
        <v>#REF!</v>
      </c>
    </row>
    <row r="689" spans="1:5" x14ac:dyDescent="0.25">
      <c r="A689">
        <f t="shared" si="30"/>
        <v>3068</v>
      </c>
      <c r="B689">
        <f t="shared" si="29"/>
        <v>22</v>
      </c>
      <c r="C689">
        <f t="shared" si="31"/>
        <v>128</v>
      </c>
      <c r="D689" t="e" cm="1">
        <f t="array" aca="1" ref="D689" ca="1">INDIRECT("'Uke "&amp;B689&amp;"'!V"&amp;9+C689)</f>
        <v>#REF!</v>
      </c>
      <c r="E689" s="20" t="e" cm="1">
        <f t="array" aca="1" ref="E689" ca="1">INDIRECT("'Uke "&amp;B689&amp;"'!AB"&amp;9+C689)</f>
        <v>#REF!</v>
      </c>
    </row>
    <row r="690" spans="1:5" x14ac:dyDescent="0.25">
      <c r="A690">
        <f t="shared" si="30"/>
        <v>3069</v>
      </c>
      <c r="B690">
        <f t="shared" si="29"/>
        <v>22</v>
      </c>
      <c r="C690">
        <f t="shared" si="31"/>
        <v>129</v>
      </c>
      <c r="D690" t="e" cm="1">
        <f t="array" aca="1" ref="D690" ca="1">INDIRECT("'Uke "&amp;B690&amp;"'!V"&amp;9+C690)</f>
        <v>#REF!</v>
      </c>
      <c r="E690" s="20" t="e" cm="1">
        <f t="array" aca="1" ref="E690" ca="1">INDIRECT("'Uke "&amp;B690&amp;"'!AB"&amp;9+C690)</f>
        <v>#REF!</v>
      </c>
    </row>
    <row r="691" spans="1:5" x14ac:dyDescent="0.25">
      <c r="A691">
        <f t="shared" si="30"/>
        <v>3070</v>
      </c>
      <c r="B691">
        <f t="shared" si="29"/>
        <v>22</v>
      </c>
      <c r="C691">
        <f t="shared" si="31"/>
        <v>130</v>
      </c>
      <c r="D691" t="e" cm="1">
        <f t="array" aca="1" ref="D691" ca="1">INDIRECT("'Uke "&amp;B691&amp;"'!V"&amp;9+C691)</f>
        <v>#REF!</v>
      </c>
      <c r="E691" s="20" t="e" cm="1">
        <f t="array" aca="1" ref="E691" ca="1">INDIRECT("'Uke "&amp;B691&amp;"'!AB"&amp;9+C691)</f>
        <v>#REF!</v>
      </c>
    </row>
    <row r="692" spans="1:5" x14ac:dyDescent="0.25">
      <c r="A692">
        <f t="shared" si="30"/>
        <v>3071</v>
      </c>
      <c r="B692">
        <f t="shared" si="29"/>
        <v>22</v>
      </c>
      <c r="C692">
        <f t="shared" si="31"/>
        <v>131</v>
      </c>
      <c r="D692" t="e" cm="1">
        <f t="array" aca="1" ref="D692" ca="1">INDIRECT("'Uke "&amp;B692&amp;"'!V"&amp;9+C692)</f>
        <v>#REF!</v>
      </c>
      <c r="E692" s="20" t="e" cm="1">
        <f t="array" aca="1" ref="E692" ca="1">INDIRECT("'Uke "&amp;B692&amp;"'!AB"&amp;9+C692)</f>
        <v>#REF!</v>
      </c>
    </row>
    <row r="693" spans="1:5" x14ac:dyDescent="0.25">
      <c r="A693">
        <f t="shared" si="30"/>
        <v>3072</v>
      </c>
      <c r="B693">
        <f t="shared" si="29"/>
        <v>22</v>
      </c>
      <c r="C693">
        <f t="shared" si="31"/>
        <v>132</v>
      </c>
      <c r="D693" t="e" cm="1">
        <f t="array" aca="1" ref="D693" ca="1">INDIRECT("'Uke "&amp;B693&amp;"'!V"&amp;9+C693)</f>
        <v>#REF!</v>
      </c>
      <c r="E693" s="20" t="e" cm="1">
        <f t="array" aca="1" ref="E693" ca="1">INDIRECT("'Uke "&amp;B693&amp;"'!AB"&amp;9+C693)</f>
        <v>#REF!</v>
      </c>
    </row>
    <row r="694" spans="1:5" x14ac:dyDescent="0.25">
      <c r="A694">
        <f t="shared" si="30"/>
        <v>3073</v>
      </c>
      <c r="B694">
        <f t="shared" si="29"/>
        <v>22</v>
      </c>
      <c r="C694">
        <f t="shared" si="31"/>
        <v>133</v>
      </c>
      <c r="D694" t="e" cm="1">
        <f t="array" aca="1" ref="D694" ca="1">INDIRECT("'Uke "&amp;B694&amp;"'!V"&amp;9+C694)</f>
        <v>#REF!</v>
      </c>
      <c r="E694" s="20" t="e" cm="1">
        <f t="array" aca="1" ref="E694" ca="1">INDIRECT("'Uke "&amp;B694&amp;"'!AB"&amp;9+C694)</f>
        <v>#REF!</v>
      </c>
    </row>
    <row r="695" spans="1:5" x14ac:dyDescent="0.25">
      <c r="A695">
        <f t="shared" si="30"/>
        <v>3074</v>
      </c>
      <c r="B695">
        <f t="shared" si="29"/>
        <v>22</v>
      </c>
      <c r="C695">
        <f t="shared" si="31"/>
        <v>134</v>
      </c>
      <c r="D695" t="e" cm="1">
        <f t="array" aca="1" ref="D695" ca="1">INDIRECT("'Uke "&amp;B695&amp;"'!V"&amp;9+C695)</f>
        <v>#REF!</v>
      </c>
      <c r="E695" s="20" t="e" cm="1">
        <f t="array" aca="1" ref="E695" ca="1">INDIRECT("'Uke "&amp;B695&amp;"'!AB"&amp;9+C695)</f>
        <v>#REF!</v>
      </c>
    </row>
    <row r="696" spans="1:5" x14ac:dyDescent="0.25">
      <c r="A696">
        <f t="shared" si="30"/>
        <v>3075</v>
      </c>
      <c r="B696">
        <f t="shared" si="29"/>
        <v>22</v>
      </c>
      <c r="C696">
        <f t="shared" si="31"/>
        <v>135</v>
      </c>
      <c r="D696" t="e" cm="1">
        <f t="array" aca="1" ref="D696" ca="1">INDIRECT("'Uke "&amp;B696&amp;"'!V"&amp;9+C696)</f>
        <v>#REF!</v>
      </c>
      <c r="E696" s="20" t="e" cm="1">
        <f t="array" aca="1" ref="E696" ca="1">INDIRECT("'Uke "&amp;B696&amp;"'!AB"&amp;9+C696)</f>
        <v>#REF!</v>
      </c>
    </row>
    <row r="697" spans="1:5" x14ac:dyDescent="0.25">
      <c r="A697">
        <f t="shared" si="30"/>
        <v>3076</v>
      </c>
      <c r="B697">
        <f t="shared" si="29"/>
        <v>22</v>
      </c>
      <c r="C697">
        <f t="shared" si="31"/>
        <v>136</v>
      </c>
      <c r="D697" t="e" cm="1">
        <f t="array" aca="1" ref="D697" ca="1">INDIRECT("'Uke "&amp;B697&amp;"'!V"&amp;9+C697)</f>
        <v>#REF!</v>
      </c>
      <c r="E697" s="20" t="e" cm="1">
        <f t="array" aca="1" ref="E697" ca="1">INDIRECT("'Uke "&amp;B697&amp;"'!AB"&amp;9+C697)</f>
        <v>#REF!</v>
      </c>
    </row>
    <row r="698" spans="1:5" x14ac:dyDescent="0.25">
      <c r="A698">
        <f t="shared" si="30"/>
        <v>3077</v>
      </c>
      <c r="B698">
        <f t="shared" si="29"/>
        <v>22</v>
      </c>
      <c r="C698">
        <f t="shared" si="31"/>
        <v>137</v>
      </c>
      <c r="D698" t="e" cm="1">
        <f t="array" aca="1" ref="D698" ca="1">INDIRECT("'Uke "&amp;B698&amp;"'!V"&amp;9+C698)</f>
        <v>#REF!</v>
      </c>
      <c r="E698" s="20" t="e" cm="1">
        <f t="array" aca="1" ref="E698" ca="1">INDIRECT("'Uke "&amp;B698&amp;"'!AB"&amp;9+C698)</f>
        <v>#REF!</v>
      </c>
    </row>
    <row r="699" spans="1:5" x14ac:dyDescent="0.25">
      <c r="A699">
        <f t="shared" si="30"/>
        <v>3078</v>
      </c>
      <c r="B699">
        <f t="shared" si="29"/>
        <v>22</v>
      </c>
      <c r="C699">
        <f t="shared" si="31"/>
        <v>138</v>
      </c>
      <c r="D699" t="e" cm="1">
        <f t="array" aca="1" ref="D699" ca="1">INDIRECT("'Uke "&amp;B699&amp;"'!V"&amp;9+C699)</f>
        <v>#REF!</v>
      </c>
      <c r="E699" s="20" t="e" cm="1">
        <f t="array" aca="1" ref="E699" ca="1">INDIRECT("'Uke "&amp;B699&amp;"'!AB"&amp;9+C699)</f>
        <v>#REF!</v>
      </c>
    </row>
    <row r="700" spans="1:5" x14ac:dyDescent="0.25">
      <c r="A700">
        <f t="shared" si="30"/>
        <v>3079</v>
      </c>
      <c r="B700">
        <f t="shared" si="29"/>
        <v>22</v>
      </c>
      <c r="C700">
        <f t="shared" si="31"/>
        <v>139</v>
      </c>
      <c r="D700" t="e" cm="1">
        <f t="array" aca="1" ref="D700" ca="1">INDIRECT("'Uke "&amp;B700&amp;"'!V"&amp;9+C700)</f>
        <v>#REF!</v>
      </c>
      <c r="E700" s="20" t="e" cm="1">
        <f t="array" aca="1" ref="E700" ca="1">INDIRECT("'Uke "&amp;B700&amp;"'!AB"&amp;9+C700)</f>
        <v>#REF!</v>
      </c>
    </row>
    <row r="701" spans="1:5" x14ac:dyDescent="0.25">
      <c r="A701">
        <f t="shared" si="30"/>
        <v>3080</v>
      </c>
      <c r="B701">
        <f t="shared" si="29"/>
        <v>22</v>
      </c>
      <c r="C701">
        <f t="shared" si="31"/>
        <v>140</v>
      </c>
      <c r="D701" t="e" cm="1">
        <f t="array" aca="1" ref="D701" ca="1">INDIRECT("'Uke "&amp;B701&amp;"'!V"&amp;9+C701)</f>
        <v>#REF!</v>
      </c>
      <c r="E701" s="20" t="e" cm="1">
        <f t="array" aca="1" ref="E701" ca="1">INDIRECT("'Uke "&amp;B701&amp;"'!AB"&amp;9+C701)</f>
        <v>#REF!</v>
      </c>
    </row>
    <row r="702" spans="1:5" x14ac:dyDescent="0.25">
      <c r="A702">
        <f t="shared" si="30"/>
        <v>3081</v>
      </c>
      <c r="B702">
        <f t="shared" si="29"/>
        <v>23</v>
      </c>
      <c r="C702">
        <f t="shared" si="31"/>
        <v>1</v>
      </c>
      <c r="D702" t="e" cm="1">
        <f t="array" aca="1" ref="D702" ca="1">INDIRECT("'Uke "&amp;B702&amp;"'!V"&amp;9+C702)</f>
        <v>#REF!</v>
      </c>
      <c r="E702" s="20" t="e" cm="1">
        <f t="array" aca="1" ref="E702" ca="1">INDIRECT("'Uke "&amp;B702&amp;"'!AB"&amp;9+C702)</f>
        <v>#REF!</v>
      </c>
    </row>
    <row r="703" spans="1:5" x14ac:dyDescent="0.25">
      <c r="A703">
        <f t="shared" si="30"/>
        <v>3082</v>
      </c>
      <c r="B703">
        <f t="shared" si="29"/>
        <v>23</v>
      </c>
      <c r="C703">
        <f t="shared" si="31"/>
        <v>2</v>
      </c>
      <c r="D703" t="e" cm="1">
        <f t="array" aca="1" ref="D703" ca="1">INDIRECT("'Uke "&amp;B703&amp;"'!V"&amp;9+C703)</f>
        <v>#REF!</v>
      </c>
      <c r="E703" s="20" t="e" cm="1">
        <f t="array" aca="1" ref="E703" ca="1">INDIRECT("'Uke "&amp;B703&amp;"'!AB"&amp;9+C703)</f>
        <v>#REF!</v>
      </c>
    </row>
    <row r="704" spans="1:5" x14ac:dyDescent="0.25">
      <c r="A704">
        <f t="shared" si="30"/>
        <v>3083</v>
      </c>
      <c r="B704">
        <f t="shared" si="29"/>
        <v>23</v>
      </c>
      <c r="C704">
        <f t="shared" si="31"/>
        <v>3</v>
      </c>
      <c r="D704" t="e" cm="1">
        <f t="array" aca="1" ref="D704" ca="1">INDIRECT("'Uke "&amp;B704&amp;"'!V"&amp;9+C704)</f>
        <v>#REF!</v>
      </c>
      <c r="E704" s="20" t="e" cm="1">
        <f t="array" aca="1" ref="E704" ca="1">INDIRECT("'Uke "&amp;B704&amp;"'!AB"&amp;9+C704)</f>
        <v>#REF!</v>
      </c>
    </row>
    <row r="705" spans="1:5" x14ac:dyDescent="0.25">
      <c r="A705">
        <f t="shared" si="30"/>
        <v>3084</v>
      </c>
      <c r="B705">
        <f t="shared" si="29"/>
        <v>23</v>
      </c>
      <c r="C705">
        <f t="shared" si="31"/>
        <v>4</v>
      </c>
      <c r="D705" t="e" cm="1">
        <f t="array" aca="1" ref="D705" ca="1">INDIRECT("'Uke "&amp;B705&amp;"'!V"&amp;9+C705)</f>
        <v>#REF!</v>
      </c>
      <c r="E705" s="20" t="e" cm="1">
        <f t="array" aca="1" ref="E705" ca="1">INDIRECT("'Uke "&amp;B705&amp;"'!AB"&amp;9+C705)</f>
        <v>#REF!</v>
      </c>
    </row>
    <row r="706" spans="1:5" x14ac:dyDescent="0.25">
      <c r="A706">
        <f t="shared" si="30"/>
        <v>3085</v>
      </c>
      <c r="B706">
        <f t="shared" ref="B706:B769" si="32">INT((A706-1)/140)+1</f>
        <v>23</v>
      </c>
      <c r="C706">
        <f t="shared" si="31"/>
        <v>5</v>
      </c>
      <c r="D706" t="e" cm="1">
        <f t="array" aca="1" ref="D706" ca="1">INDIRECT("'Uke "&amp;B706&amp;"'!V"&amp;9+C706)</f>
        <v>#REF!</v>
      </c>
      <c r="E706" s="20" t="e" cm="1">
        <f t="array" aca="1" ref="E706" ca="1">INDIRECT("'Uke "&amp;B706&amp;"'!AB"&amp;9+C706)</f>
        <v>#REF!</v>
      </c>
    </row>
    <row r="707" spans="1:5" x14ac:dyDescent="0.25">
      <c r="A707">
        <f t="shared" si="30"/>
        <v>3086</v>
      </c>
      <c r="B707">
        <f t="shared" si="32"/>
        <v>23</v>
      </c>
      <c r="C707">
        <f t="shared" si="31"/>
        <v>6</v>
      </c>
      <c r="D707" t="e" cm="1">
        <f t="array" aca="1" ref="D707" ca="1">INDIRECT("'Uke "&amp;B707&amp;"'!V"&amp;9+C707)</f>
        <v>#REF!</v>
      </c>
      <c r="E707" s="20" t="e" cm="1">
        <f t="array" aca="1" ref="E707" ca="1">INDIRECT("'Uke "&amp;B707&amp;"'!AB"&amp;9+C707)</f>
        <v>#REF!</v>
      </c>
    </row>
    <row r="708" spans="1:5" x14ac:dyDescent="0.25">
      <c r="A708">
        <f t="shared" si="30"/>
        <v>3087</v>
      </c>
      <c r="B708">
        <f t="shared" si="32"/>
        <v>23</v>
      </c>
      <c r="C708">
        <f t="shared" si="31"/>
        <v>7</v>
      </c>
      <c r="D708" t="e" cm="1">
        <f t="array" aca="1" ref="D708" ca="1">INDIRECT("'Uke "&amp;B708&amp;"'!V"&amp;9+C708)</f>
        <v>#REF!</v>
      </c>
      <c r="E708" s="20" t="e" cm="1">
        <f t="array" aca="1" ref="E708" ca="1">INDIRECT("'Uke "&amp;B708&amp;"'!AB"&amp;9+C708)</f>
        <v>#REF!</v>
      </c>
    </row>
    <row r="709" spans="1:5" x14ac:dyDescent="0.25">
      <c r="A709">
        <f t="shared" si="30"/>
        <v>3088</v>
      </c>
      <c r="B709">
        <f t="shared" si="32"/>
        <v>23</v>
      </c>
      <c r="C709">
        <f t="shared" si="31"/>
        <v>8</v>
      </c>
      <c r="D709" t="e" cm="1">
        <f t="array" aca="1" ref="D709" ca="1">INDIRECT("'Uke "&amp;B709&amp;"'!V"&amp;9+C709)</f>
        <v>#REF!</v>
      </c>
      <c r="E709" s="20" t="e" cm="1">
        <f t="array" aca="1" ref="E709" ca="1">INDIRECT("'Uke "&amp;B709&amp;"'!AB"&amp;9+C709)</f>
        <v>#REF!</v>
      </c>
    </row>
    <row r="710" spans="1:5" x14ac:dyDescent="0.25">
      <c r="A710">
        <f t="shared" si="30"/>
        <v>3089</v>
      </c>
      <c r="B710">
        <f t="shared" si="32"/>
        <v>23</v>
      </c>
      <c r="C710">
        <f t="shared" si="31"/>
        <v>9</v>
      </c>
      <c r="D710" t="e" cm="1">
        <f t="array" aca="1" ref="D710" ca="1">INDIRECT("'Uke "&amp;B710&amp;"'!V"&amp;9+C710)</f>
        <v>#REF!</v>
      </c>
      <c r="E710" s="20" t="e" cm="1">
        <f t="array" aca="1" ref="E710" ca="1">INDIRECT("'Uke "&amp;B710&amp;"'!AB"&amp;9+C710)</f>
        <v>#REF!</v>
      </c>
    </row>
    <row r="711" spans="1:5" x14ac:dyDescent="0.25">
      <c r="A711">
        <f t="shared" si="30"/>
        <v>3090</v>
      </c>
      <c r="B711">
        <f t="shared" si="32"/>
        <v>23</v>
      </c>
      <c r="C711">
        <f t="shared" si="31"/>
        <v>10</v>
      </c>
      <c r="D711" t="e" cm="1">
        <f t="array" aca="1" ref="D711" ca="1">INDIRECT("'Uke "&amp;B711&amp;"'!V"&amp;9+C711)</f>
        <v>#REF!</v>
      </c>
      <c r="E711" s="20" t="e" cm="1">
        <f t="array" aca="1" ref="E711" ca="1">INDIRECT("'Uke "&amp;B711&amp;"'!AB"&amp;9+C711)</f>
        <v>#REF!</v>
      </c>
    </row>
    <row r="712" spans="1:5" x14ac:dyDescent="0.25">
      <c r="A712">
        <f t="shared" si="30"/>
        <v>3091</v>
      </c>
      <c r="B712">
        <f t="shared" si="32"/>
        <v>23</v>
      </c>
      <c r="C712">
        <f t="shared" si="31"/>
        <v>11</v>
      </c>
      <c r="D712" t="e" cm="1">
        <f t="array" aca="1" ref="D712" ca="1">INDIRECT("'Uke "&amp;B712&amp;"'!V"&amp;9+C712)</f>
        <v>#REF!</v>
      </c>
      <c r="E712" s="20" t="e" cm="1">
        <f t="array" aca="1" ref="E712" ca="1">INDIRECT("'Uke "&amp;B712&amp;"'!AB"&amp;9+C712)</f>
        <v>#REF!</v>
      </c>
    </row>
    <row r="713" spans="1:5" x14ac:dyDescent="0.25">
      <c r="A713">
        <f t="shared" si="30"/>
        <v>3092</v>
      </c>
      <c r="B713">
        <f t="shared" si="32"/>
        <v>23</v>
      </c>
      <c r="C713">
        <f t="shared" si="31"/>
        <v>12</v>
      </c>
      <c r="D713" t="e" cm="1">
        <f t="array" aca="1" ref="D713" ca="1">INDIRECT("'Uke "&amp;B713&amp;"'!V"&amp;9+C713)</f>
        <v>#REF!</v>
      </c>
      <c r="E713" s="20" t="e" cm="1">
        <f t="array" aca="1" ref="E713" ca="1">INDIRECT("'Uke "&amp;B713&amp;"'!AB"&amp;9+C713)</f>
        <v>#REF!</v>
      </c>
    </row>
    <row r="714" spans="1:5" x14ac:dyDescent="0.25">
      <c r="A714">
        <f t="shared" si="30"/>
        <v>3093</v>
      </c>
      <c r="B714">
        <f t="shared" si="32"/>
        <v>23</v>
      </c>
      <c r="C714">
        <f t="shared" si="31"/>
        <v>13</v>
      </c>
      <c r="D714" t="e" cm="1">
        <f t="array" aca="1" ref="D714" ca="1">INDIRECT("'Uke "&amp;B714&amp;"'!V"&amp;9+C714)</f>
        <v>#REF!</v>
      </c>
      <c r="E714" s="20" t="e" cm="1">
        <f t="array" aca="1" ref="E714" ca="1">INDIRECT("'Uke "&amp;B714&amp;"'!AB"&amp;9+C714)</f>
        <v>#REF!</v>
      </c>
    </row>
    <row r="715" spans="1:5" x14ac:dyDescent="0.25">
      <c r="A715">
        <f t="shared" si="30"/>
        <v>3094</v>
      </c>
      <c r="B715">
        <f t="shared" si="32"/>
        <v>23</v>
      </c>
      <c r="C715">
        <f t="shared" si="31"/>
        <v>14</v>
      </c>
      <c r="D715" t="e" cm="1">
        <f t="array" aca="1" ref="D715" ca="1">INDIRECT("'Uke "&amp;B715&amp;"'!V"&amp;9+C715)</f>
        <v>#REF!</v>
      </c>
      <c r="E715" s="20" t="e" cm="1">
        <f t="array" aca="1" ref="E715" ca="1">INDIRECT("'Uke "&amp;B715&amp;"'!AB"&amp;9+C715)</f>
        <v>#REF!</v>
      </c>
    </row>
    <row r="716" spans="1:5" x14ac:dyDescent="0.25">
      <c r="A716">
        <f t="shared" si="30"/>
        <v>3095</v>
      </c>
      <c r="B716">
        <f t="shared" si="32"/>
        <v>23</v>
      </c>
      <c r="C716">
        <f t="shared" si="31"/>
        <v>15</v>
      </c>
      <c r="D716" t="e" cm="1">
        <f t="array" aca="1" ref="D716" ca="1">INDIRECT("'Uke "&amp;B716&amp;"'!V"&amp;9+C716)</f>
        <v>#REF!</v>
      </c>
      <c r="E716" s="20" t="e" cm="1">
        <f t="array" aca="1" ref="E716" ca="1">INDIRECT("'Uke "&amp;B716&amp;"'!AB"&amp;9+C716)</f>
        <v>#REF!</v>
      </c>
    </row>
    <row r="717" spans="1:5" x14ac:dyDescent="0.25">
      <c r="A717">
        <f t="shared" si="30"/>
        <v>3096</v>
      </c>
      <c r="B717">
        <f t="shared" si="32"/>
        <v>23</v>
      </c>
      <c r="C717">
        <f t="shared" si="31"/>
        <v>16</v>
      </c>
      <c r="D717" t="e" cm="1">
        <f t="array" aca="1" ref="D717" ca="1">INDIRECT("'Uke "&amp;B717&amp;"'!V"&amp;9+C717)</f>
        <v>#REF!</v>
      </c>
      <c r="E717" s="20" t="e" cm="1">
        <f t="array" aca="1" ref="E717" ca="1">INDIRECT("'Uke "&amp;B717&amp;"'!AB"&amp;9+C717)</f>
        <v>#REF!</v>
      </c>
    </row>
    <row r="718" spans="1:5" x14ac:dyDescent="0.25">
      <c r="A718">
        <f t="shared" si="30"/>
        <v>3097</v>
      </c>
      <c r="B718">
        <f t="shared" si="32"/>
        <v>23</v>
      </c>
      <c r="C718">
        <f t="shared" si="31"/>
        <v>17</v>
      </c>
      <c r="D718" t="e" cm="1">
        <f t="array" aca="1" ref="D718" ca="1">INDIRECT("'Uke "&amp;B718&amp;"'!V"&amp;9+C718)</f>
        <v>#REF!</v>
      </c>
      <c r="E718" s="20" t="e" cm="1">
        <f t="array" aca="1" ref="E718" ca="1">INDIRECT("'Uke "&amp;B718&amp;"'!AB"&amp;9+C718)</f>
        <v>#REF!</v>
      </c>
    </row>
    <row r="719" spans="1:5" x14ac:dyDescent="0.25">
      <c r="A719">
        <f t="shared" si="30"/>
        <v>3098</v>
      </c>
      <c r="B719">
        <f t="shared" si="32"/>
        <v>23</v>
      </c>
      <c r="C719">
        <f t="shared" si="31"/>
        <v>18</v>
      </c>
      <c r="D719" t="e" cm="1">
        <f t="array" aca="1" ref="D719" ca="1">INDIRECT("'Uke "&amp;B719&amp;"'!V"&amp;9+C719)</f>
        <v>#REF!</v>
      </c>
      <c r="E719" s="20" t="e" cm="1">
        <f t="array" aca="1" ref="E719" ca="1">INDIRECT("'Uke "&amp;B719&amp;"'!AB"&amp;9+C719)</f>
        <v>#REF!</v>
      </c>
    </row>
    <row r="720" spans="1:5" x14ac:dyDescent="0.25">
      <c r="A720">
        <f t="shared" si="30"/>
        <v>3099</v>
      </c>
      <c r="B720">
        <f t="shared" si="32"/>
        <v>23</v>
      </c>
      <c r="C720">
        <f t="shared" si="31"/>
        <v>19</v>
      </c>
      <c r="D720" t="e" cm="1">
        <f t="array" aca="1" ref="D720" ca="1">INDIRECT("'Uke "&amp;B720&amp;"'!V"&amp;9+C720)</f>
        <v>#REF!</v>
      </c>
      <c r="E720" s="20" t="e" cm="1">
        <f t="array" aca="1" ref="E720" ca="1">INDIRECT("'Uke "&amp;B720&amp;"'!AB"&amp;9+C720)</f>
        <v>#REF!</v>
      </c>
    </row>
    <row r="721" spans="1:5" x14ac:dyDescent="0.25">
      <c r="A721">
        <f t="shared" ref="A721:A784" si="33">A720+1</f>
        <v>3100</v>
      </c>
      <c r="B721">
        <f t="shared" si="32"/>
        <v>23</v>
      </c>
      <c r="C721">
        <f t="shared" ref="C721:C784" si="34">MOD(A721-1,140)+1</f>
        <v>20</v>
      </c>
      <c r="D721" t="e" cm="1">
        <f t="array" aca="1" ref="D721" ca="1">INDIRECT("'Uke "&amp;B721&amp;"'!V"&amp;9+C721)</f>
        <v>#REF!</v>
      </c>
      <c r="E721" s="20" t="e" cm="1">
        <f t="array" aca="1" ref="E721" ca="1">INDIRECT("'Uke "&amp;B721&amp;"'!AB"&amp;9+C721)</f>
        <v>#REF!</v>
      </c>
    </row>
    <row r="722" spans="1:5" x14ac:dyDescent="0.25">
      <c r="A722">
        <f t="shared" si="33"/>
        <v>3101</v>
      </c>
      <c r="B722">
        <f t="shared" si="32"/>
        <v>23</v>
      </c>
      <c r="C722">
        <f t="shared" si="34"/>
        <v>21</v>
      </c>
      <c r="D722" t="e" cm="1">
        <f t="array" aca="1" ref="D722" ca="1">INDIRECT("'Uke "&amp;B722&amp;"'!V"&amp;9+C722)</f>
        <v>#REF!</v>
      </c>
      <c r="E722" s="20" t="e" cm="1">
        <f t="array" aca="1" ref="E722" ca="1">INDIRECT("'Uke "&amp;B722&amp;"'!AB"&amp;9+C722)</f>
        <v>#REF!</v>
      </c>
    </row>
    <row r="723" spans="1:5" x14ac:dyDescent="0.25">
      <c r="A723">
        <f t="shared" si="33"/>
        <v>3102</v>
      </c>
      <c r="B723">
        <f t="shared" si="32"/>
        <v>23</v>
      </c>
      <c r="C723">
        <f t="shared" si="34"/>
        <v>22</v>
      </c>
      <c r="D723" t="e" cm="1">
        <f t="array" aca="1" ref="D723" ca="1">INDIRECT("'Uke "&amp;B723&amp;"'!V"&amp;9+C723)</f>
        <v>#REF!</v>
      </c>
      <c r="E723" s="20" t="e" cm="1">
        <f t="array" aca="1" ref="E723" ca="1">INDIRECT("'Uke "&amp;B723&amp;"'!AB"&amp;9+C723)</f>
        <v>#REF!</v>
      </c>
    </row>
    <row r="724" spans="1:5" x14ac:dyDescent="0.25">
      <c r="A724">
        <f t="shared" si="33"/>
        <v>3103</v>
      </c>
      <c r="B724">
        <f t="shared" si="32"/>
        <v>23</v>
      </c>
      <c r="C724">
        <f t="shared" si="34"/>
        <v>23</v>
      </c>
      <c r="D724" t="e" cm="1">
        <f t="array" aca="1" ref="D724" ca="1">INDIRECT("'Uke "&amp;B724&amp;"'!V"&amp;9+C724)</f>
        <v>#REF!</v>
      </c>
      <c r="E724" s="20" t="e" cm="1">
        <f t="array" aca="1" ref="E724" ca="1">INDIRECT("'Uke "&amp;B724&amp;"'!AB"&amp;9+C724)</f>
        <v>#REF!</v>
      </c>
    </row>
    <row r="725" spans="1:5" x14ac:dyDescent="0.25">
      <c r="A725">
        <f t="shared" si="33"/>
        <v>3104</v>
      </c>
      <c r="B725">
        <f t="shared" si="32"/>
        <v>23</v>
      </c>
      <c r="C725">
        <f t="shared" si="34"/>
        <v>24</v>
      </c>
      <c r="D725" t="e" cm="1">
        <f t="array" aca="1" ref="D725" ca="1">INDIRECT("'Uke "&amp;B725&amp;"'!V"&amp;9+C725)</f>
        <v>#REF!</v>
      </c>
      <c r="E725" s="20" t="e" cm="1">
        <f t="array" aca="1" ref="E725" ca="1">INDIRECT("'Uke "&amp;B725&amp;"'!AB"&amp;9+C725)</f>
        <v>#REF!</v>
      </c>
    </row>
    <row r="726" spans="1:5" x14ac:dyDescent="0.25">
      <c r="A726">
        <f t="shared" si="33"/>
        <v>3105</v>
      </c>
      <c r="B726">
        <f t="shared" si="32"/>
        <v>23</v>
      </c>
      <c r="C726">
        <f t="shared" si="34"/>
        <v>25</v>
      </c>
      <c r="D726" t="e" cm="1">
        <f t="array" aca="1" ref="D726" ca="1">INDIRECT("'Uke "&amp;B726&amp;"'!V"&amp;9+C726)</f>
        <v>#REF!</v>
      </c>
      <c r="E726" s="20" t="e" cm="1">
        <f t="array" aca="1" ref="E726" ca="1">INDIRECT("'Uke "&amp;B726&amp;"'!AB"&amp;9+C726)</f>
        <v>#REF!</v>
      </c>
    </row>
    <row r="727" spans="1:5" x14ac:dyDescent="0.25">
      <c r="A727">
        <f t="shared" si="33"/>
        <v>3106</v>
      </c>
      <c r="B727">
        <f t="shared" si="32"/>
        <v>23</v>
      </c>
      <c r="C727">
        <f t="shared" si="34"/>
        <v>26</v>
      </c>
      <c r="D727" t="e" cm="1">
        <f t="array" aca="1" ref="D727" ca="1">INDIRECT("'Uke "&amp;B727&amp;"'!V"&amp;9+C727)</f>
        <v>#REF!</v>
      </c>
      <c r="E727" s="20" t="e" cm="1">
        <f t="array" aca="1" ref="E727" ca="1">INDIRECT("'Uke "&amp;B727&amp;"'!AB"&amp;9+C727)</f>
        <v>#REF!</v>
      </c>
    </row>
    <row r="728" spans="1:5" x14ac:dyDescent="0.25">
      <c r="A728">
        <f t="shared" si="33"/>
        <v>3107</v>
      </c>
      <c r="B728">
        <f t="shared" si="32"/>
        <v>23</v>
      </c>
      <c r="C728">
        <f t="shared" si="34"/>
        <v>27</v>
      </c>
      <c r="D728" t="e" cm="1">
        <f t="array" aca="1" ref="D728" ca="1">INDIRECT("'Uke "&amp;B728&amp;"'!V"&amp;9+C728)</f>
        <v>#REF!</v>
      </c>
      <c r="E728" s="20" t="e" cm="1">
        <f t="array" aca="1" ref="E728" ca="1">INDIRECT("'Uke "&amp;B728&amp;"'!AB"&amp;9+C728)</f>
        <v>#REF!</v>
      </c>
    </row>
    <row r="729" spans="1:5" x14ac:dyDescent="0.25">
      <c r="A729">
        <f t="shared" si="33"/>
        <v>3108</v>
      </c>
      <c r="B729">
        <f t="shared" si="32"/>
        <v>23</v>
      </c>
      <c r="C729">
        <f t="shared" si="34"/>
        <v>28</v>
      </c>
      <c r="D729" t="e" cm="1">
        <f t="array" aca="1" ref="D729" ca="1">INDIRECT("'Uke "&amp;B729&amp;"'!V"&amp;9+C729)</f>
        <v>#REF!</v>
      </c>
      <c r="E729" s="20" t="e" cm="1">
        <f t="array" aca="1" ref="E729" ca="1">INDIRECT("'Uke "&amp;B729&amp;"'!AB"&amp;9+C729)</f>
        <v>#REF!</v>
      </c>
    </row>
    <row r="730" spans="1:5" x14ac:dyDescent="0.25">
      <c r="A730">
        <f t="shared" si="33"/>
        <v>3109</v>
      </c>
      <c r="B730">
        <f t="shared" si="32"/>
        <v>23</v>
      </c>
      <c r="C730">
        <f t="shared" si="34"/>
        <v>29</v>
      </c>
      <c r="D730" t="e" cm="1">
        <f t="array" aca="1" ref="D730" ca="1">INDIRECT("'Uke "&amp;B730&amp;"'!V"&amp;9+C730)</f>
        <v>#REF!</v>
      </c>
      <c r="E730" s="20" t="e" cm="1">
        <f t="array" aca="1" ref="E730" ca="1">INDIRECT("'Uke "&amp;B730&amp;"'!AB"&amp;9+C730)</f>
        <v>#REF!</v>
      </c>
    </row>
    <row r="731" spans="1:5" x14ac:dyDescent="0.25">
      <c r="A731">
        <f t="shared" si="33"/>
        <v>3110</v>
      </c>
      <c r="B731">
        <f t="shared" si="32"/>
        <v>23</v>
      </c>
      <c r="C731">
        <f t="shared" si="34"/>
        <v>30</v>
      </c>
      <c r="D731" t="e" cm="1">
        <f t="array" aca="1" ref="D731" ca="1">INDIRECT("'Uke "&amp;B731&amp;"'!V"&amp;9+C731)</f>
        <v>#REF!</v>
      </c>
      <c r="E731" s="20" t="e" cm="1">
        <f t="array" aca="1" ref="E731" ca="1">INDIRECT("'Uke "&amp;B731&amp;"'!AB"&amp;9+C731)</f>
        <v>#REF!</v>
      </c>
    </row>
    <row r="732" spans="1:5" x14ac:dyDescent="0.25">
      <c r="A732">
        <f t="shared" si="33"/>
        <v>3111</v>
      </c>
      <c r="B732">
        <f t="shared" si="32"/>
        <v>23</v>
      </c>
      <c r="C732">
        <f t="shared" si="34"/>
        <v>31</v>
      </c>
      <c r="D732" t="e" cm="1">
        <f t="array" aca="1" ref="D732" ca="1">INDIRECT("'Uke "&amp;B732&amp;"'!V"&amp;9+C732)</f>
        <v>#REF!</v>
      </c>
      <c r="E732" s="20" t="e" cm="1">
        <f t="array" aca="1" ref="E732" ca="1">INDIRECT("'Uke "&amp;B732&amp;"'!AB"&amp;9+C732)</f>
        <v>#REF!</v>
      </c>
    </row>
    <row r="733" spans="1:5" x14ac:dyDescent="0.25">
      <c r="A733">
        <f t="shared" si="33"/>
        <v>3112</v>
      </c>
      <c r="B733">
        <f t="shared" si="32"/>
        <v>23</v>
      </c>
      <c r="C733">
        <f t="shared" si="34"/>
        <v>32</v>
      </c>
      <c r="D733" t="e" cm="1">
        <f t="array" aca="1" ref="D733" ca="1">INDIRECT("'Uke "&amp;B733&amp;"'!V"&amp;9+C733)</f>
        <v>#REF!</v>
      </c>
      <c r="E733" s="20" t="e" cm="1">
        <f t="array" aca="1" ref="E733" ca="1">INDIRECT("'Uke "&amp;B733&amp;"'!AB"&amp;9+C733)</f>
        <v>#REF!</v>
      </c>
    </row>
    <row r="734" spans="1:5" x14ac:dyDescent="0.25">
      <c r="A734">
        <f t="shared" si="33"/>
        <v>3113</v>
      </c>
      <c r="B734">
        <f t="shared" si="32"/>
        <v>23</v>
      </c>
      <c r="C734">
        <f t="shared" si="34"/>
        <v>33</v>
      </c>
      <c r="D734" t="e" cm="1">
        <f t="array" aca="1" ref="D734" ca="1">INDIRECT("'Uke "&amp;B734&amp;"'!V"&amp;9+C734)</f>
        <v>#REF!</v>
      </c>
      <c r="E734" s="20" t="e" cm="1">
        <f t="array" aca="1" ref="E734" ca="1">INDIRECT("'Uke "&amp;B734&amp;"'!AB"&amp;9+C734)</f>
        <v>#REF!</v>
      </c>
    </row>
    <row r="735" spans="1:5" x14ac:dyDescent="0.25">
      <c r="A735">
        <f t="shared" si="33"/>
        <v>3114</v>
      </c>
      <c r="B735">
        <f t="shared" si="32"/>
        <v>23</v>
      </c>
      <c r="C735">
        <f t="shared" si="34"/>
        <v>34</v>
      </c>
      <c r="D735" t="e" cm="1">
        <f t="array" aca="1" ref="D735" ca="1">INDIRECT("'Uke "&amp;B735&amp;"'!V"&amp;9+C735)</f>
        <v>#REF!</v>
      </c>
      <c r="E735" s="20" t="e" cm="1">
        <f t="array" aca="1" ref="E735" ca="1">INDIRECT("'Uke "&amp;B735&amp;"'!AB"&amp;9+C735)</f>
        <v>#REF!</v>
      </c>
    </row>
    <row r="736" spans="1:5" x14ac:dyDescent="0.25">
      <c r="A736">
        <f t="shared" si="33"/>
        <v>3115</v>
      </c>
      <c r="B736">
        <f t="shared" si="32"/>
        <v>23</v>
      </c>
      <c r="C736">
        <f t="shared" si="34"/>
        <v>35</v>
      </c>
      <c r="D736" t="e" cm="1">
        <f t="array" aca="1" ref="D736" ca="1">INDIRECT("'Uke "&amp;B736&amp;"'!V"&amp;9+C736)</f>
        <v>#REF!</v>
      </c>
      <c r="E736" s="20" t="e" cm="1">
        <f t="array" aca="1" ref="E736" ca="1">INDIRECT("'Uke "&amp;B736&amp;"'!AB"&amp;9+C736)</f>
        <v>#REF!</v>
      </c>
    </row>
    <row r="737" spans="1:5" x14ac:dyDescent="0.25">
      <c r="A737">
        <f t="shared" si="33"/>
        <v>3116</v>
      </c>
      <c r="B737">
        <f t="shared" si="32"/>
        <v>23</v>
      </c>
      <c r="C737">
        <f t="shared" si="34"/>
        <v>36</v>
      </c>
      <c r="D737" t="e" cm="1">
        <f t="array" aca="1" ref="D737" ca="1">INDIRECT("'Uke "&amp;B737&amp;"'!V"&amp;9+C737)</f>
        <v>#REF!</v>
      </c>
      <c r="E737" s="20" t="e" cm="1">
        <f t="array" aca="1" ref="E737" ca="1">INDIRECT("'Uke "&amp;B737&amp;"'!AB"&amp;9+C737)</f>
        <v>#REF!</v>
      </c>
    </row>
    <row r="738" spans="1:5" x14ac:dyDescent="0.25">
      <c r="A738">
        <f t="shared" si="33"/>
        <v>3117</v>
      </c>
      <c r="B738">
        <f t="shared" si="32"/>
        <v>23</v>
      </c>
      <c r="C738">
        <f t="shared" si="34"/>
        <v>37</v>
      </c>
      <c r="D738" t="e" cm="1">
        <f t="array" aca="1" ref="D738" ca="1">INDIRECT("'Uke "&amp;B738&amp;"'!V"&amp;9+C738)</f>
        <v>#REF!</v>
      </c>
      <c r="E738" s="20" t="e" cm="1">
        <f t="array" aca="1" ref="E738" ca="1">INDIRECT("'Uke "&amp;B738&amp;"'!AB"&amp;9+C738)</f>
        <v>#REF!</v>
      </c>
    </row>
    <row r="739" spans="1:5" x14ac:dyDescent="0.25">
      <c r="A739">
        <f t="shared" si="33"/>
        <v>3118</v>
      </c>
      <c r="B739">
        <f t="shared" si="32"/>
        <v>23</v>
      </c>
      <c r="C739">
        <f t="shared" si="34"/>
        <v>38</v>
      </c>
      <c r="D739" t="e" cm="1">
        <f t="array" aca="1" ref="D739" ca="1">INDIRECT("'Uke "&amp;B739&amp;"'!V"&amp;9+C739)</f>
        <v>#REF!</v>
      </c>
      <c r="E739" s="20" t="e" cm="1">
        <f t="array" aca="1" ref="E739" ca="1">INDIRECT("'Uke "&amp;B739&amp;"'!AB"&amp;9+C739)</f>
        <v>#REF!</v>
      </c>
    </row>
    <row r="740" spans="1:5" x14ac:dyDescent="0.25">
      <c r="A740">
        <f t="shared" si="33"/>
        <v>3119</v>
      </c>
      <c r="B740">
        <f t="shared" si="32"/>
        <v>23</v>
      </c>
      <c r="C740">
        <f t="shared" si="34"/>
        <v>39</v>
      </c>
      <c r="D740" t="e" cm="1">
        <f t="array" aca="1" ref="D740" ca="1">INDIRECT("'Uke "&amp;B740&amp;"'!V"&amp;9+C740)</f>
        <v>#REF!</v>
      </c>
      <c r="E740" s="20" t="e" cm="1">
        <f t="array" aca="1" ref="E740" ca="1">INDIRECT("'Uke "&amp;B740&amp;"'!AB"&amp;9+C740)</f>
        <v>#REF!</v>
      </c>
    </row>
    <row r="741" spans="1:5" x14ac:dyDescent="0.25">
      <c r="A741">
        <f t="shared" si="33"/>
        <v>3120</v>
      </c>
      <c r="B741">
        <f t="shared" si="32"/>
        <v>23</v>
      </c>
      <c r="C741">
        <f t="shared" si="34"/>
        <v>40</v>
      </c>
      <c r="D741" t="e" cm="1">
        <f t="array" aca="1" ref="D741" ca="1">INDIRECT("'Uke "&amp;B741&amp;"'!V"&amp;9+C741)</f>
        <v>#REF!</v>
      </c>
      <c r="E741" s="20" t="e" cm="1">
        <f t="array" aca="1" ref="E741" ca="1">INDIRECT("'Uke "&amp;B741&amp;"'!AB"&amp;9+C741)</f>
        <v>#REF!</v>
      </c>
    </row>
    <row r="742" spans="1:5" x14ac:dyDescent="0.25">
      <c r="A742">
        <f t="shared" si="33"/>
        <v>3121</v>
      </c>
      <c r="B742">
        <f t="shared" si="32"/>
        <v>23</v>
      </c>
      <c r="C742">
        <f t="shared" si="34"/>
        <v>41</v>
      </c>
      <c r="D742" t="e" cm="1">
        <f t="array" aca="1" ref="D742" ca="1">INDIRECT("'Uke "&amp;B742&amp;"'!V"&amp;9+C742)</f>
        <v>#REF!</v>
      </c>
      <c r="E742" s="20" t="e" cm="1">
        <f t="array" aca="1" ref="E742" ca="1">INDIRECT("'Uke "&amp;B742&amp;"'!AB"&amp;9+C742)</f>
        <v>#REF!</v>
      </c>
    </row>
    <row r="743" spans="1:5" x14ac:dyDescent="0.25">
      <c r="A743">
        <f t="shared" si="33"/>
        <v>3122</v>
      </c>
      <c r="B743">
        <f t="shared" si="32"/>
        <v>23</v>
      </c>
      <c r="C743">
        <f t="shared" si="34"/>
        <v>42</v>
      </c>
      <c r="D743" t="e" cm="1">
        <f t="array" aca="1" ref="D743" ca="1">INDIRECT("'Uke "&amp;B743&amp;"'!V"&amp;9+C743)</f>
        <v>#REF!</v>
      </c>
      <c r="E743" s="20" t="e" cm="1">
        <f t="array" aca="1" ref="E743" ca="1">INDIRECT("'Uke "&amp;B743&amp;"'!AB"&amp;9+C743)</f>
        <v>#REF!</v>
      </c>
    </row>
    <row r="744" spans="1:5" x14ac:dyDescent="0.25">
      <c r="A744">
        <f t="shared" si="33"/>
        <v>3123</v>
      </c>
      <c r="B744">
        <f t="shared" si="32"/>
        <v>23</v>
      </c>
      <c r="C744">
        <f t="shared" si="34"/>
        <v>43</v>
      </c>
      <c r="D744" t="e" cm="1">
        <f t="array" aca="1" ref="D744" ca="1">INDIRECT("'Uke "&amp;B744&amp;"'!V"&amp;9+C744)</f>
        <v>#REF!</v>
      </c>
      <c r="E744" s="20" t="e" cm="1">
        <f t="array" aca="1" ref="E744" ca="1">INDIRECT("'Uke "&amp;B744&amp;"'!AB"&amp;9+C744)</f>
        <v>#REF!</v>
      </c>
    </row>
    <row r="745" spans="1:5" x14ac:dyDescent="0.25">
      <c r="A745">
        <f t="shared" si="33"/>
        <v>3124</v>
      </c>
      <c r="B745">
        <f t="shared" si="32"/>
        <v>23</v>
      </c>
      <c r="C745">
        <f t="shared" si="34"/>
        <v>44</v>
      </c>
      <c r="D745" t="e" cm="1">
        <f t="array" aca="1" ref="D745" ca="1">INDIRECT("'Uke "&amp;B745&amp;"'!V"&amp;9+C745)</f>
        <v>#REF!</v>
      </c>
      <c r="E745" s="20" t="e" cm="1">
        <f t="array" aca="1" ref="E745" ca="1">INDIRECT("'Uke "&amp;B745&amp;"'!AB"&amp;9+C745)</f>
        <v>#REF!</v>
      </c>
    </row>
    <row r="746" spans="1:5" x14ac:dyDescent="0.25">
      <c r="A746">
        <f t="shared" si="33"/>
        <v>3125</v>
      </c>
      <c r="B746">
        <f t="shared" si="32"/>
        <v>23</v>
      </c>
      <c r="C746">
        <f t="shared" si="34"/>
        <v>45</v>
      </c>
      <c r="D746" t="e" cm="1">
        <f t="array" aca="1" ref="D746" ca="1">INDIRECT("'Uke "&amp;B746&amp;"'!V"&amp;9+C746)</f>
        <v>#REF!</v>
      </c>
      <c r="E746" s="20" t="e" cm="1">
        <f t="array" aca="1" ref="E746" ca="1">INDIRECT("'Uke "&amp;B746&amp;"'!AB"&amp;9+C746)</f>
        <v>#REF!</v>
      </c>
    </row>
    <row r="747" spans="1:5" x14ac:dyDescent="0.25">
      <c r="A747">
        <f t="shared" si="33"/>
        <v>3126</v>
      </c>
      <c r="B747">
        <f t="shared" si="32"/>
        <v>23</v>
      </c>
      <c r="C747">
        <f t="shared" si="34"/>
        <v>46</v>
      </c>
      <c r="D747" t="e" cm="1">
        <f t="array" aca="1" ref="D747" ca="1">INDIRECT("'Uke "&amp;B747&amp;"'!V"&amp;9+C747)</f>
        <v>#REF!</v>
      </c>
      <c r="E747" s="20" t="e" cm="1">
        <f t="array" aca="1" ref="E747" ca="1">INDIRECT("'Uke "&amp;B747&amp;"'!AB"&amp;9+C747)</f>
        <v>#REF!</v>
      </c>
    </row>
    <row r="748" spans="1:5" x14ac:dyDescent="0.25">
      <c r="A748">
        <f t="shared" si="33"/>
        <v>3127</v>
      </c>
      <c r="B748">
        <f t="shared" si="32"/>
        <v>23</v>
      </c>
      <c r="C748">
        <f t="shared" si="34"/>
        <v>47</v>
      </c>
      <c r="D748" t="e" cm="1">
        <f t="array" aca="1" ref="D748" ca="1">INDIRECT("'Uke "&amp;B748&amp;"'!V"&amp;9+C748)</f>
        <v>#REF!</v>
      </c>
      <c r="E748" s="20" t="e" cm="1">
        <f t="array" aca="1" ref="E748" ca="1">INDIRECT("'Uke "&amp;B748&amp;"'!AB"&amp;9+C748)</f>
        <v>#REF!</v>
      </c>
    </row>
    <row r="749" spans="1:5" x14ac:dyDescent="0.25">
      <c r="A749">
        <f t="shared" si="33"/>
        <v>3128</v>
      </c>
      <c r="B749">
        <f t="shared" si="32"/>
        <v>23</v>
      </c>
      <c r="C749">
        <f t="shared" si="34"/>
        <v>48</v>
      </c>
      <c r="D749" t="e" cm="1">
        <f t="array" aca="1" ref="D749" ca="1">INDIRECT("'Uke "&amp;B749&amp;"'!V"&amp;9+C749)</f>
        <v>#REF!</v>
      </c>
      <c r="E749" s="20" t="e" cm="1">
        <f t="array" aca="1" ref="E749" ca="1">INDIRECT("'Uke "&amp;B749&amp;"'!AB"&amp;9+C749)</f>
        <v>#REF!</v>
      </c>
    </row>
    <row r="750" spans="1:5" x14ac:dyDescent="0.25">
      <c r="A750">
        <f t="shared" si="33"/>
        <v>3129</v>
      </c>
      <c r="B750">
        <f t="shared" si="32"/>
        <v>23</v>
      </c>
      <c r="C750">
        <f t="shared" si="34"/>
        <v>49</v>
      </c>
      <c r="D750" t="e" cm="1">
        <f t="array" aca="1" ref="D750" ca="1">INDIRECT("'Uke "&amp;B750&amp;"'!V"&amp;9+C750)</f>
        <v>#REF!</v>
      </c>
      <c r="E750" s="20" t="e" cm="1">
        <f t="array" aca="1" ref="E750" ca="1">INDIRECT("'Uke "&amp;B750&amp;"'!AB"&amp;9+C750)</f>
        <v>#REF!</v>
      </c>
    </row>
    <row r="751" spans="1:5" x14ac:dyDescent="0.25">
      <c r="A751">
        <f t="shared" si="33"/>
        <v>3130</v>
      </c>
      <c r="B751">
        <f t="shared" si="32"/>
        <v>23</v>
      </c>
      <c r="C751">
        <f t="shared" si="34"/>
        <v>50</v>
      </c>
      <c r="D751" t="e" cm="1">
        <f t="array" aca="1" ref="D751" ca="1">INDIRECT("'Uke "&amp;B751&amp;"'!V"&amp;9+C751)</f>
        <v>#REF!</v>
      </c>
      <c r="E751" s="20" t="e" cm="1">
        <f t="array" aca="1" ref="E751" ca="1">INDIRECT("'Uke "&amp;B751&amp;"'!AB"&amp;9+C751)</f>
        <v>#REF!</v>
      </c>
    </row>
    <row r="752" spans="1:5" x14ac:dyDescent="0.25">
      <c r="A752">
        <f t="shared" si="33"/>
        <v>3131</v>
      </c>
      <c r="B752">
        <f t="shared" si="32"/>
        <v>23</v>
      </c>
      <c r="C752">
        <f t="shared" si="34"/>
        <v>51</v>
      </c>
      <c r="D752" t="e" cm="1">
        <f t="array" aca="1" ref="D752" ca="1">INDIRECT("'Uke "&amp;B752&amp;"'!V"&amp;9+C752)</f>
        <v>#REF!</v>
      </c>
      <c r="E752" s="20" t="e" cm="1">
        <f t="array" aca="1" ref="E752" ca="1">INDIRECT("'Uke "&amp;B752&amp;"'!AB"&amp;9+C752)</f>
        <v>#REF!</v>
      </c>
    </row>
    <row r="753" spans="1:5" x14ac:dyDescent="0.25">
      <c r="A753">
        <f t="shared" si="33"/>
        <v>3132</v>
      </c>
      <c r="B753">
        <f t="shared" si="32"/>
        <v>23</v>
      </c>
      <c r="C753">
        <f t="shared" si="34"/>
        <v>52</v>
      </c>
      <c r="D753" t="e" cm="1">
        <f t="array" aca="1" ref="D753" ca="1">INDIRECT("'Uke "&amp;B753&amp;"'!V"&amp;9+C753)</f>
        <v>#REF!</v>
      </c>
      <c r="E753" s="20" t="e" cm="1">
        <f t="array" aca="1" ref="E753" ca="1">INDIRECT("'Uke "&amp;B753&amp;"'!AB"&amp;9+C753)</f>
        <v>#REF!</v>
      </c>
    </row>
    <row r="754" spans="1:5" x14ac:dyDescent="0.25">
      <c r="A754">
        <f t="shared" si="33"/>
        <v>3133</v>
      </c>
      <c r="B754">
        <f t="shared" si="32"/>
        <v>23</v>
      </c>
      <c r="C754">
        <f t="shared" si="34"/>
        <v>53</v>
      </c>
      <c r="D754" t="e" cm="1">
        <f t="array" aca="1" ref="D754" ca="1">INDIRECT("'Uke "&amp;B754&amp;"'!V"&amp;9+C754)</f>
        <v>#REF!</v>
      </c>
      <c r="E754" s="20" t="e" cm="1">
        <f t="array" aca="1" ref="E754" ca="1">INDIRECT("'Uke "&amp;B754&amp;"'!AB"&amp;9+C754)</f>
        <v>#REF!</v>
      </c>
    </row>
    <row r="755" spans="1:5" x14ac:dyDescent="0.25">
      <c r="A755">
        <f t="shared" si="33"/>
        <v>3134</v>
      </c>
      <c r="B755">
        <f t="shared" si="32"/>
        <v>23</v>
      </c>
      <c r="C755">
        <f t="shared" si="34"/>
        <v>54</v>
      </c>
      <c r="D755" t="e" cm="1">
        <f t="array" aca="1" ref="D755" ca="1">INDIRECT("'Uke "&amp;B755&amp;"'!V"&amp;9+C755)</f>
        <v>#REF!</v>
      </c>
      <c r="E755" s="20" t="e" cm="1">
        <f t="array" aca="1" ref="E755" ca="1">INDIRECT("'Uke "&amp;B755&amp;"'!AB"&amp;9+C755)</f>
        <v>#REF!</v>
      </c>
    </row>
    <row r="756" spans="1:5" x14ac:dyDescent="0.25">
      <c r="A756">
        <f t="shared" si="33"/>
        <v>3135</v>
      </c>
      <c r="B756">
        <f t="shared" si="32"/>
        <v>23</v>
      </c>
      <c r="C756">
        <f t="shared" si="34"/>
        <v>55</v>
      </c>
      <c r="D756" t="e" cm="1">
        <f t="array" aca="1" ref="D756" ca="1">INDIRECT("'Uke "&amp;B756&amp;"'!V"&amp;9+C756)</f>
        <v>#REF!</v>
      </c>
      <c r="E756" s="20" t="e" cm="1">
        <f t="array" aca="1" ref="E756" ca="1">INDIRECT("'Uke "&amp;B756&amp;"'!AB"&amp;9+C756)</f>
        <v>#REF!</v>
      </c>
    </row>
    <row r="757" spans="1:5" x14ac:dyDescent="0.25">
      <c r="A757">
        <f t="shared" si="33"/>
        <v>3136</v>
      </c>
      <c r="B757">
        <f t="shared" si="32"/>
        <v>23</v>
      </c>
      <c r="C757">
        <f t="shared" si="34"/>
        <v>56</v>
      </c>
      <c r="D757" t="e" cm="1">
        <f t="array" aca="1" ref="D757" ca="1">INDIRECT("'Uke "&amp;B757&amp;"'!V"&amp;9+C757)</f>
        <v>#REF!</v>
      </c>
      <c r="E757" s="20" t="e" cm="1">
        <f t="array" aca="1" ref="E757" ca="1">INDIRECT("'Uke "&amp;B757&amp;"'!AB"&amp;9+C757)</f>
        <v>#REF!</v>
      </c>
    </row>
    <row r="758" spans="1:5" x14ac:dyDescent="0.25">
      <c r="A758">
        <f t="shared" si="33"/>
        <v>3137</v>
      </c>
      <c r="B758">
        <f t="shared" si="32"/>
        <v>23</v>
      </c>
      <c r="C758">
        <f t="shared" si="34"/>
        <v>57</v>
      </c>
      <c r="D758" t="e" cm="1">
        <f t="array" aca="1" ref="D758" ca="1">INDIRECT("'Uke "&amp;B758&amp;"'!V"&amp;9+C758)</f>
        <v>#REF!</v>
      </c>
      <c r="E758" s="20" t="e" cm="1">
        <f t="array" aca="1" ref="E758" ca="1">INDIRECT("'Uke "&amp;B758&amp;"'!AB"&amp;9+C758)</f>
        <v>#REF!</v>
      </c>
    </row>
    <row r="759" spans="1:5" x14ac:dyDescent="0.25">
      <c r="A759">
        <f t="shared" si="33"/>
        <v>3138</v>
      </c>
      <c r="B759">
        <f t="shared" si="32"/>
        <v>23</v>
      </c>
      <c r="C759">
        <f t="shared" si="34"/>
        <v>58</v>
      </c>
      <c r="D759" t="e" cm="1">
        <f t="array" aca="1" ref="D759" ca="1">INDIRECT("'Uke "&amp;B759&amp;"'!V"&amp;9+C759)</f>
        <v>#REF!</v>
      </c>
      <c r="E759" s="20" t="e" cm="1">
        <f t="array" aca="1" ref="E759" ca="1">INDIRECT("'Uke "&amp;B759&amp;"'!AB"&amp;9+C759)</f>
        <v>#REF!</v>
      </c>
    </row>
    <row r="760" spans="1:5" x14ac:dyDescent="0.25">
      <c r="A760">
        <f t="shared" si="33"/>
        <v>3139</v>
      </c>
      <c r="B760">
        <f t="shared" si="32"/>
        <v>23</v>
      </c>
      <c r="C760">
        <f t="shared" si="34"/>
        <v>59</v>
      </c>
      <c r="D760" t="e" cm="1">
        <f t="array" aca="1" ref="D760" ca="1">INDIRECT("'Uke "&amp;B760&amp;"'!V"&amp;9+C760)</f>
        <v>#REF!</v>
      </c>
      <c r="E760" s="20" t="e" cm="1">
        <f t="array" aca="1" ref="E760" ca="1">INDIRECT("'Uke "&amp;B760&amp;"'!AB"&amp;9+C760)</f>
        <v>#REF!</v>
      </c>
    </row>
    <row r="761" spans="1:5" x14ac:dyDescent="0.25">
      <c r="A761">
        <f t="shared" si="33"/>
        <v>3140</v>
      </c>
      <c r="B761">
        <f t="shared" si="32"/>
        <v>23</v>
      </c>
      <c r="C761">
        <f t="shared" si="34"/>
        <v>60</v>
      </c>
      <c r="D761" t="e" cm="1">
        <f t="array" aca="1" ref="D761" ca="1">INDIRECT("'Uke "&amp;B761&amp;"'!V"&amp;9+C761)</f>
        <v>#REF!</v>
      </c>
      <c r="E761" s="20" t="e" cm="1">
        <f t="array" aca="1" ref="E761" ca="1">INDIRECT("'Uke "&amp;B761&amp;"'!AB"&amp;9+C761)</f>
        <v>#REF!</v>
      </c>
    </row>
    <row r="762" spans="1:5" x14ac:dyDescent="0.25">
      <c r="A762">
        <f t="shared" si="33"/>
        <v>3141</v>
      </c>
      <c r="B762">
        <f t="shared" si="32"/>
        <v>23</v>
      </c>
      <c r="C762">
        <f t="shared" si="34"/>
        <v>61</v>
      </c>
      <c r="D762" t="e" cm="1">
        <f t="array" aca="1" ref="D762" ca="1">INDIRECT("'Uke "&amp;B762&amp;"'!V"&amp;9+C762)</f>
        <v>#REF!</v>
      </c>
      <c r="E762" s="20" t="e" cm="1">
        <f t="array" aca="1" ref="E762" ca="1">INDIRECT("'Uke "&amp;B762&amp;"'!AB"&amp;9+C762)</f>
        <v>#REF!</v>
      </c>
    </row>
    <row r="763" spans="1:5" x14ac:dyDescent="0.25">
      <c r="A763">
        <f t="shared" si="33"/>
        <v>3142</v>
      </c>
      <c r="B763">
        <f t="shared" si="32"/>
        <v>23</v>
      </c>
      <c r="C763">
        <f t="shared" si="34"/>
        <v>62</v>
      </c>
      <c r="D763" t="e" cm="1">
        <f t="array" aca="1" ref="D763" ca="1">INDIRECT("'Uke "&amp;B763&amp;"'!V"&amp;9+C763)</f>
        <v>#REF!</v>
      </c>
      <c r="E763" s="20" t="e" cm="1">
        <f t="array" aca="1" ref="E763" ca="1">INDIRECT("'Uke "&amp;B763&amp;"'!AB"&amp;9+C763)</f>
        <v>#REF!</v>
      </c>
    </row>
    <row r="764" spans="1:5" x14ac:dyDescent="0.25">
      <c r="A764">
        <f t="shared" si="33"/>
        <v>3143</v>
      </c>
      <c r="B764">
        <f t="shared" si="32"/>
        <v>23</v>
      </c>
      <c r="C764">
        <f t="shared" si="34"/>
        <v>63</v>
      </c>
      <c r="D764" t="e" cm="1">
        <f t="array" aca="1" ref="D764" ca="1">INDIRECT("'Uke "&amp;B764&amp;"'!V"&amp;9+C764)</f>
        <v>#REF!</v>
      </c>
      <c r="E764" s="20" t="e" cm="1">
        <f t="array" aca="1" ref="E764" ca="1">INDIRECT("'Uke "&amp;B764&amp;"'!AB"&amp;9+C764)</f>
        <v>#REF!</v>
      </c>
    </row>
    <row r="765" spans="1:5" x14ac:dyDescent="0.25">
      <c r="A765">
        <f t="shared" si="33"/>
        <v>3144</v>
      </c>
      <c r="B765">
        <f t="shared" si="32"/>
        <v>23</v>
      </c>
      <c r="C765">
        <f t="shared" si="34"/>
        <v>64</v>
      </c>
      <c r="D765" t="e" cm="1">
        <f t="array" aca="1" ref="D765" ca="1">INDIRECT("'Uke "&amp;B765&amp;"'!V"&amp;9+C765)</f>
        <v>#REF!</v>
      </c>
      <c r="E765" s="20" t="e" cm="1">
        <f t="array" aca="1" ref="E765" ca="1">INDIRECT("'Uke "&amp;B765&amp;"'!AB"&amp;9+C765)</f>
        <v>#REF!</v>
      </c>
    </row>
    <row r="766" spans="1:5" x14ac:dyDescent="0.25">
      <c r="A766">
        <f t="shared" si="33"/>
        <v>3145</v>
      </c>
      <c r="B766">
        <f t="shared" si="32"/>
        <v>23</v>
      </c>
      <c r="C766">
        <f t="shared" si="34"/>
        <v>65</v>
      </c>
      <c r="D766" t="e" cm="1">
        <f t="array" aca="1" ref="D766" ca="1">INDIRECT("'Uke "&amp;B766&amp;"'!V"&amp;9+C766)</f>
        <v>#REF!</v>
      </c>
      <c r="E766" s="20" t="e" cm="1">
        <f t="array" aca="1" ref="E766" ca="1">INDIRECT("'Uke "&amp;B766&amp;"'!AB"&amp;9+C766)</f>
        <v>#REF!</v>
      </c>
    </row>
    <row r="767" spans="1:5" x14ac:dyDescent="0.25">
      <c r="A767">
        <f t="shared" si="33"/>
        <v>3146</v>
      </c>
      <c r="B767">
        <f t="shared" si="32"/>
        <v>23</v>
      </c>
      <c r="C767">
        <f t="shared" si="34"/>
        <v>66</v>
      </c>
      <c r="D767" t="e" cm="1">
        <f t="array" aca="1" ref="D767" ca="1">INDIRECT("'Uke "&amp;B767&amp;"'!V"&amp;9+C767)</f>
        <v>#REF!</v>
      </c>
      <c r="E767" s="20" t="e" cm="1">
        <f t="array" aca="1" ref="E767" ca="1">INDIRECT("'Uke "&amp;B767&amp;"'!AB"&amp;9+C767)</f>
        <v>#REF!</v>
      </c>
    </row>
    <row r="768" spans="1:5" x14ac:dyDescent="0.25">
      <c r="A768">
        <f t="shared" si="33"/>
        <v>3147</v>
      </c>
      <c r="B768">
        <f t="shared" si="32"/>
        <v>23</v>
      </c>
      <c r="C768">
        <f t="shared" si="34"/>
        <v>67</v>
      </c>
      <c r="D768" t="e" cm="1">
        <f t="array" aca="1" ref="D768" ca="1">INDIRECT("'Uke "&amp;B768&amp;"'!V"&amp;9+C768)</f>
        <v>#REF!</v>
      </c>
      <c r="E768" s="20" t="e" cm="1">
        <f t="array" aca="1" ref="E768" ca="1">INDIRECT("'Uke "&amp;B768&amp;"'!AB"&amp;9+C768)</f>
        <v>#REF!</v>
      </c>
    </row>
    <row r="769" spans="1:5" x14ac:dyDescent="0.25">
      <c r="A769">
        <f t="shared" si="33"/>
        <v>3148</v>
      </c>
      <c r="B769">
        <f t="shared" si="32"/>
        <v>23</v>
      </c>
      <c r="C769">
        <f t="shared" si="34"/>
        <v>68</v>
      </c>
      <c r="D769" t="e" cm="1">
        <f t="array" aca="1" ref="D769" ca="1">INDIRECT("'Uke "&amp;B769&amp;"'!V"&amp;9+C769)</f>
        <v>#REF!</v>
      </c>
      <c r="E769" s="20" t="e" cm="1">
        <f t="array" aca="1" ref="E769" ca="1">INDIRECT("'Uke "&amp;B769&amp;"'!AB"&amp;9+C769)</f>
        <v>#REF!</v>
      </c>
    </row>
    <row r="770" spans="1:5" x14ac:dyDescent="0.25">
      <c r="A770">
        <f t="shared" si="33"/>
        <v>3149</v>
      </c>
      <c r="B770">
        <f t="shared" ref="B770:B833" si="35">INT((A770-1)/140)+1</f>
        <v>23</v>
      </c>
      <c r="C770">
        <f t="shared" si="34"/>
        <v>69</v>
      </c>
      <c r="D770" t="e" cm="1">
        <f t="array" aca="1" ref="D770" ca="1">INDIRECT("'Uke "&amp;B770&amp;"'!V"&amp;9+C770)</f>
        <v>#REF!</v>
      </c>
      <c r="E770" s="20" t="e" cm="1">
        <f t="array" aca="1" ref="E770" ca="1">INDIRECT("'Uke "&amp;B770&amp;"'!AB"&amp;9+C770)</f>
        <v>#REF!</v>
      </c>
    </row>
    <row r="771" spans="1:5" x14ac:dyDescent="0.25">
      <c r="A771">
        <f t="shared" si="33"/>
        <v>3150</v>
      </c>
      <c r="B771">
        <f t="shared" si="35"/>
        <v>23</v>
      </c>
      <c r="C771">
        <f t="shared" si="34"/>
        <v>70</v>
      </c>
      <c r="D771" t="e" cm="1">
        <f t="array" aca="1" ref="D771" ca="1">INDIRECT("'Uke "&amp;B771&amp;"'!V"&amp;9+C771)</f>
        <v>#REF!</v>
      </c>
      <c r="E771" s="20" t="e" cm="1">
        <f t="array" aca="1" ref="E771" ca="1">INDIRECT("'Uke "&amp;B771&amp;"'!AB"&amp;9+C771)</f>
        <v>#REF!</v>
      </c>
    </row>
    <row r="772" spans="1:5" x14ac:dyDescent="0.25">
      <c r="A772">
        <f t="shared" si="33"/>
        <v>3151</v>
      </c>
      <c r="B772">
        <f t="shared" si="35"/>
        <v>23</v>
      </c>
      <c r="C772">
        <f t="shared" si="34"/>
        <v>71</v>
      </c>
      <c r="D772" t="e" cm="1">
        <f t="array" aca="1" ref="D772" ca="1">INDIRECT("'Uke "&amp;B772&amp;"'!V"&amp;9+C772)</f>
        <v>#REF!</v>
      </c>
      <c r="E772" s="20" t="e" cm="1">
        <f t="array" aca="1" ref="E772" ca="1">INDIRECT("'Uke "&amp;B772&amp;"'!AB"&amp;9+C772)</f>
        <v>#REF!</v>
      </c>
    </row>
    <row r="773" spans="1:5" x14ac:dyDescent="0.25">
      <c r="A773">
        <f t="shared" si="33"/>
        <v>3152</v>
      </c>
      <c r="B773">
        <f t="shared" si="35"/>
        <v>23</v>
      </c>
      <c r="C773">
        <f t="shared" si="34"/>
        <v>72</v>
      </c>
      <c r="D773" t="e" cm="1">
        <f t="array" aca="1" ref="D773" ca="1">INDIRECT("'Uke "&amp;B773&amp;"'!V"&amp;9+C773)</f>
        <v>#REF!</v>
      </c>
      <c r="E773" s="20" t="e" cm="1">
        <f t="array" aca="1" ref="E773" ca="1">INDIRECT("'Uke "&amp;B773&amp;"'!AB"&amp;9+C773)</f>
        <v>#REF!</v>
      </c>
    </row>
    <row r="774" spans="1:5" x14ac:dyDescent="0.25">
      <c r="A774">
        <f t="shared" si="33"/>
        <v>3153</v>
      </c>
      <c r="B774">
        <f t="shared" si="35"/>
        <v>23</v>
      </c>
      <c r="C774">
        <f t="shared" si="34"/>
        <v>73</v>
      </c>
      <c r="D774" t="e" cm="1">
        <f t="array" aca="1" ref="D774" ca="1">INDIRECT("'Uke "&amp;B774&amp;"'!V"&amp;9+C774)</f>
        <v>#REF!</v>
      </c>
      <c r="E774" s="20" t="e" cm="1">
        <f t="array" aca="1" ref="E774" ca="1">INDIRECT("'Uke "&amp;B774&amp;"'!AB"&amp;9+C774)</f>
        <v>#REF!</v>
      </c>
    </row>
    <row r="775" spans="1:5" x14ac:dyDescent="0.25">
      <c r="A775">
        <f t="shared" si="33"/>
        <v>3154</v>
      </c>
      <c r="B775">
        <f t="shared" si="35"/>
        <v>23</v>
      </c>
      <c r="C775">
        <f t="shared" si="34"/>
        <v>74</v>
      </c>
      <c r="D775" t="e" cm="1">
        <f t="array" aca="1" ref="D775" ca="1">INDIRECT("'Uke "&amp;B775&amp;"'!V"&amp;9+C775)</f>
        <v>#REF!</v>
      </c>
      <c r="E775" s="20" t="e" cm="1">
        <f t="array" aca="1" ref="E775" ca="1">INDIRECT("'Uke "&amp;B775&amp;"'!AB"&amp;9+C775)</f>
        <v>#REF!</v>
      </c>
    </row>
    <row r="776" spans="1:5" x14ac:dyDescent="0.25">
      <c r="A776">
        <f t="shared" si="33"/>
        <v>3155</v>
      </c>
      <c r="B776">
        <f t="shared" si="35"/>
        <v>23</v>
      </c>
      <c r="C776">
        <f t="shared" si="34"/>
        <v>75</v>
      </c>
      <c r="D776" t="e" cm="1">
        <f t="array" aca="1" ref="D776" ca="1">INDIRECT("'Uke "&amp;B776&amp;"'!V"&amp;9+C776)</f>
        <v>#REF!</v>
      </c>
      <c r="E776" s="20" t="e" cm="1">
        <f t="array" aca="1" ref="E776" ca="1">INDIRECT("'Uke "&amp;B776&amp;"'!AB"&amp;9+C776)</f>
        <v>#REF!</v>
      </c>
    </row>
    <row r="777" spans="1:5" x14ac:dyDescent="0.25">
      <c r="A777">
        <f t="shared" si="33"/>
        <v>3156</v>
      </c>
      <c r="B777">
        <f t="shared" si="35"/>
        <v>23</v>
      </c>
      <c r="C777">
        <f t="shared" si="34"/>
        <v>76</v>
      </c>
      <c r="D777" t="e" cm="1">
        <f t="array" aca="1" ref="D777" ca="1">INDIRECT("'Uke "&amp;B777&amp;"'!V"&amp;9+C777)</f>
        <v>#REF!</v>
      </c>
      <c r="E777" s="20" t="e" cm="1">
        <f t="array" aca="1" ref="E777" ca="1">INDIRECT("'Uke "&amp;B777&amp;"'!AB"&amp;9+C777)</f>
        <v>#REF!</v>
      </c>
    </row>
    <row r="778" spans="1:5" x14ac:dyDescent="0.25">
      <c r="A778">
        <f t="shared" si="33"/>
        <v>3157</v>
      </c>
      <c r="B778">
        <f t="shared" si="35"/>
        <v>23</v>
      </c>
      <c r="C778">
        <f t="shared" si="34"/>
        <v>77</v>
      </c>
      <c r="D778" t="e" cm="1">
        <f t="array" aca="1" ref="D778" ca="1">INDIRECT("'Uke "&amp;B778&amp;"'!V"&amp;9+C778)</f>
        <v>#REF!</v>
      </c>
      <c r="E778" s="20" t="e" cm="1">
        <f t="array" aca="1" ref="E778" ca="1">INDIRECT("'Uke "&amp;B778&amp;"'!AB"&amp;9+C778)</f>
        <v>#REF!</v>
      </c>
    </row>
    <row r="779" spans="1:5" x14ac:dyDescent="0.25">
      <c r="A779">
        <f t="shared" si="33"/>
        <v>3158</v>
      </c>
      <c r="B779">
        <f t="shared" si="35"/>
        <v>23</v>
      </c>
      <c r="C779">
        <f t="shared" si="34"/>
        <v>78</v>
      </c>
      <c r="D779" t="e" cm="1">
        <f t="array" aca="1" ref="D779" ca="1">INDIRECT("'Uke "&amp;B779&amp;"'!V"&amp;9+C779)</f>
        <v>#REF!</v>
      </c>
      <c r="E779" s="20" t="e" cm="1">
        <f t="array" aca="1" ref="E779" ca="1">INDIRECT("'Uke "&amp;B779&amp;"'!AB"&amp;9+C779)</f>
        <v>#REF!</v>
      </c>
    </row>
    <row r="780" spans="1:5" x14ac:dyDescent="0.25">
      <c r="A780">
        <f t="shared" si="33"/>
        <v>3159</v>
      </c>
      <c r="B780">
        <f t="shared" si="35"/>
        <v>23</v>
      </c>
      <c r="C780">
        <f t="shared" si="34"/>
        <v>79</v>
      </c>
      <c r="D780" t="e" cm="1">
        <f t="array" aca="1" ref="D780" ca="1">INDIRECT("'Uke "&amp;B780&amp;"'!V"&amp;9+C780)</f>
        <v>#REF!</v>
      </c>
      <c r="E780" s="20" t="e" cm="1">
        <f t="array" aca="1" ref="E780" ca="1">INDIRECT("'Uke "&amp;B780&amp;"'!AB"&amp;9+C780)</f>
        <v>#REF!</v>
      </c>
    </row>
    <row r="781" spans="1:5" x14ac:dyDescent="0.25">
      <c r="A781">
        <f t="shared" si="33"/>
        <v>3160</v>
      </c>
      <c r="B781">
        <f t="shared" si="35"/>
        <v>23</v>
      </c>
      <c r="C781">
        <f t="shared" si="34"/>
        <v>80</v>
      </c>
      <c r="D781" t="e" cm="1">
        <f t="array" aca="1" ref="D781" ca="1">INDIRECT("'Uke "&amp;B781&amp;"'!V"&amp;9+C781)</f>
        <v>#REF!</v>
      </c>
      <c r="E781" s="20" t="e" cm="1">
        <f t="array" aca="1" ref="E781" ca="1">INDIRECT("'Uke "&amp;B781&amp;"'!AB"&amp;9+C781)</f>
        <v>#REF!</v>
      </c>
    </row>
    <row r="782" spans="1:5" x14ac:dyDescent="0.25">
      <c r="A782">
        <f t="shared" si="33"/>
        <v>3161</v>
      </c>
      <c r="B782">
        <f t="shared" si="35"/>
        <v>23</v>
      </c>
      <c r="C782">
        <f t="shared" si="34"/>
        <v>81</v>
      </c>
      <c r="D782" t="e" cm="1">
        <f t="array" aca="1" ref="D782" ca="1">INDIRECT("'Uke "&amp;B782&amp;"'!V"&amp;9+C782)</f>
        <v>#REF!</v>
      </c>
      <c r="E782" s="20" t="e" cm="1">
        <f t="array" aca="1" ref="E782" ca="1">INDIRECT("'Uke "&amp;B782&amp;"'!AB"&amp;9+C782)</f>
        <v>#REF!</v>
      </c>
    </row>
    <row r="783" spans="1:5" x14ac:dyDescent="0.25">
      <c r="A783">
        <f t="shared" si="33"/>
        <v>3162</v>
      </c>
      <c r="B783">
        <f t="shared" si="35"/>
        <v>23</v>
      </c>
      <c r="C783">
        <f t="shared" si="34"/>
        <v>82</v>
      </c>
      <c r="D783" t="e" cm="1">
        <f t="array" aca="1" ref="D783" ca="1">INDIRECT("'Uke "&amp;B783&amp;"'!V"&amp;9+C783)</f>
        <v>#REF!</v>
      </c>
      <c r="E783" s="20" t="e" cm="1">
        <f t="array" aca="1" ref="E783" ca="1">INDIRECT("'Uke "&amp;B783&amp;"'!AB"&amp;9+C783)</f>
        <v>#REF!</v>
      </c>
    </row>
    <row r="784" spans="1:5" x14ac:dyDescent="0.25">
      <c r="A784">
        <f t="shared" si="33"/>
        <v>3163</v>
      </c>
      <c r="B784">
        <f t="shared" si="35"/>
        <v>23</v>
      </c>
      <c r="C784">
        <f t="shared" si="34"/>
        <v>83</v>
      </c>
      <c r="D784" t="e" cm="1">
        <f t="array" aca="1" ref="D784" ca="1">INDIRECT("'Uke "&amp;B784&amp;"'!V"&amp;9+C784)</f>
        <v>#REF!</v>
      </c>
      <c r="E784" s="20" t="e" cm="1">
        <f t="array" aca="1" ref="E784" ca="1">INDIRECT("'Uke "&amp;B784&amp;"'!AB"&amp;9+C784)</f>
        <v>#REF!</v>
      </c>
    </row>
    <row r="785" spans="1:5" x14ac:dyDescent="0.25">
      <c r="A785">
        <f t="shared" ref="A785:A841" si="36">A784+1</f>
        <v>3164</v>
      </c>
      <c r="B785">
        <f t="shared" si="35"/>
        <v>23</v>
      </c>
      <c r="C785">
        <f t="shared" ref="C785:C841" si="37">MOD(A785-1,140)+1</f>
        <v>84</v>
      </c>
      <c r="D785" t="e" cm="1">
        <f t="array" aca="1" ref="D785" ca="1">INDIRECT("'Uke "&amp;B785&amp;"'!V"&amp;9+C785)</f>
        <v>#REF!</v>
      </c>
      <c r="E785" s="20" t="e" cm="1">
        <f t="array" aca="1" ref="E785" ca="1">INDIRECT("'Uke "&amp;B785&amp;"'!AB"&amp;9+C785)</f>
        <v>#REF!</v>
      </c>
    </row>
    <row r="786" spans="1:5" x14ac:dyDescent="0.25">
      <c r="A786">
        <f t="shared" si="36"/>
        <v>3165</v>
      </c>
      <c r="B786">
        <f t="shared" si="35"/>
        <v>23</v>
      </c>
      <c r="C786">
        <f t="shared" si="37"/>
        <v>85</v>
      </c>
      <c r="D786" t="e" cm="1">
        <f t="array" aca="1" ref="D786" ca="1">INDIRECT("'Uke "&amp;B786&amp;"'!V"&amp;9+C786)</f>
        <v>#REF!</v>
      </c>
      <c r="E786" s="20" t="e" cm="1">
        <f t="array" aca="1" ref="E786" ca="1">INDIRECT("'Uke "&amp;B786&amp;"'!AB"&amp;9+C786)</f>
        <v>#REF!</v>
      </c>
    </row>
    <row r="787" spans="1:5" x14ac:dyDescent="0.25">
      <c r="A787">
        <f t="shared" si="36"/>
        <v>3166</v>
      </c>
      <c r="B787">
        <f t="shared" si="35"/>
        <v>23</v>
      </c>
      <c r="C787">
        <f t="shared" si="37"/>
        <v>86</v>
      </c>
      <c r="D787" t="e" cm="1">
        <f t="array" aca="1" ref="D787" ca="1">INDIRECT("'Uke "&amp;B787&amp;"'!V"&amp;9+C787)</f>
        <v>#REF!</v>
      </c>
      <c r="E787" s="20" t="e" cm="1">
        <f t="array" aca="1" ref="E787" ca="1">INDIRECT("'Uke "&amp;B787&amp;"'!AB"&amp;9+C787)</f>
        <v>#REF!</v>
      </c>
    </row>
    <row r="788" spans="1:5" x14ac:dyDescent="0.25">
      <c r="A788">
        <f t="shared" si="36"/>
        <v>3167</v>
      </c>
      <c r="B788">
        <f t="shared" si="35"/>
        <v>23</v>
      </c>
      <c r="C788">
        <f t="shared" si="37"/>
        <v>87</v>
      </c>
      <c r="D788" t="e" cm="1">
        <f t="array" aca="1" ref="D788" ca="1">INDIRECT("'Uke "&amp;B788&amp;"'!V"&amp;9+C788)</f>
        <v>#REF!</v>
      </c>
      <c r="E788" s="20" t="e" cm="1">
        <f t="array" aca="1" ref="E788" ca="1">INDIRECT("'Uke "&amp;B788&amp;"'!AB"&amp;9+C788)</f>
        <v>#REF!</v>
      </c>
    </row>
    <row r="789" spans="1:5" x14ac:dyDescent="0.25">
      <c r="A789">
        <f t="shared" si="36"/>
        <v>3168</v>
      </c>
      <c r="B789">
        <f t="shared" si="35"/>
        <v>23</v>
      </c>
      <c r="C789">
        <f t="shared" si="37"/>
        <v>88</v>
      </c>
      <c r="D789" t="e" cm="1">
        <f t="array" aca="1" ref="D789" ca="1">INDIRECT("'Uke "&amp;B789&amp;"'!V"&amp;9+C789)</f>
        <v>#REF!</v>
      </c>
      <c r="E789" s="20" t="e" cm="1">
        <f t="array" aca="1" ref="E789" ca="1">INDIRECT("'Uke "&amp;B789&amp;"'!AB"&amp;9+C789)</f>
        <v>#REF!</v>
      </c>
    </row>
    <row r="790" spans="1:5" x14ac:dyDescent="0.25">
      <c r="A790">
        <f t="shared" si="36"/>
        <v>3169</v>
      </c>
      <c r="B790">
        <f t="shared" si="35"/>
        <v>23</v>
      </c>
      <c r="C790">
        <f t="shared" si="37"/>
        <v>89</v>
      </c>
      <c r="D790" t="e" cm="1">
        <f t="array" aca="1" ref="D790" ca="1">INDIRECT("'Uke "&amp;B790&amp;"'!V"&amp;9+C790)</f>
        <v>#REF!</v>
      </c>
      <c r="E790" s="20" t="e" cm="1">
        <f t="array" aca="1" ref="E790" ca="1">INDIRECT("'Uke "&amp;B790&amp;"'!AB"&amp;9+C790)</f>
        <v>#REF!</v>
      </c>
    </row>
    <row r="791" spans="1:5" x14ac:dyDescent="0.25">
      <c r="A791">
        <f t="shared" si="36"/>
        <v>3170</v>
      </c>
      <c r="B791">
        <f t="shared" si="35"/>
        <v>23</v>
      </c>
      <c r="C791">
        <f t="shared" si="37"/>
        <v>90</v>
      </c>
      <c r="D791" t="e" cm="1">
        <f t="array" aca="1" ref="D791" ca="1">INDIRECT("'Uke "&amp;B791&amp;"'!V"&amp;9+C791)</f>
        <v>#REF!</v>
      </c>
      <c r="E791" s="20" t="e" cm="1">
        <f t="array" aca="1" ref="E791" ca="1">INDIRECT("'Uke "&amp;B791&amp;"'!AB"&amp;9+C791)</f>
        <v>#REF!</v>
      </c>
    </row>
    <row r="792" spans="1:5" x14ac:dyDescent="0.25">
      <c r="A792">
        <f t="shared" si="36"/>
        <v>3171</v>
      </c>
      <c r="B792">
        <f t="shared" si="35"/>
        <v>23</v>
      </c>
      <c r="C792">
        <f t="shared" si="37"/>
        <v>91</v>
      </c>
      <c r="D792" t="e" cm="1">
        <f t="array" aca="1" ref="D792" ca="1">INDIRECT("'Uke "&amp;B792&amp;"'!V"&amp;9+C792)</f>
        <v>#REF!</v>
      </c>
      <c r="E792" s="20" t="e" cm="1">
        <f t="array" aca="1" ref="E792" ca="1">INDIRECT("'Uke "&amp;B792&amp;"'!AB"&amp;9+C792)</f>
        <v>#REF!</v>
      </c>
    </row>
    <row r="793" spans="1:5" x14ac:dyDescent="0.25">
      <c r="A793">
        <f t="shared" si="36"/>
        <v>3172</v>
      </c>
      <c r="B793">
        <f t="shared" si="35"/>
        <v>23</v>
      </c>
      <c r="C793">
        <f t="shared" si="37"/>
        <v>92</v>
      </c>
      <c r="D793" t="e" cm="1">
        <f t="array" aca="1" ref="D793" ca="1">INDIRECT("'Uke "&amp;B793&amp;"'!V"&amp;9+C793)</f>
        <v>#REF!</v>
      </c>
      <c r="E793" s="20" t="e" cm="1">
        <f t="array" aca="1" ref="E793" ca="1">INDIRECT("'Uke "&amp;B793&amp;"'!AB"&amp;9+C793)</f>
        <v>#REF!</v>
      </c>
    </row>
    <row r="794" spans="1:5" x14ac:dyDescent="0.25">
      <c r="A794">
        <f t="shared" si="36"/>
        <v>3173</v>
      </c>
      <c r="B794">
        <f t="shared" si="35"/>
        <v>23</v>
      </c>
      <c r="C794">
        <f t="shared" si="37"/>
        <v>93</v>
      </c>
      <c r="D794" t="e" cm="1">
        <f t="array" aca="1" ref="D794" ca="1">INDIRECT("'Uke "&amp;B794&amp;"'!V"&amp;9+C794)</f>
        <v>#REF!</v>
      </c>
      <c r="E794" s="20" t="e" cm="1">
        <f t="array" aca="1" ref="E794" ca="1">INDIRECT("'Uke "&amp;B794&amp;"'!AB"&amp;9+C794)</f>
        <v>#REF!</v>
      </c>
    </row>
    <row r="795" spans="1:5" x14ac:dyDescent="0.25">
      <c r="A795">
        <f t="shared" si="36"/>
        <v>3174</v>
      </c>
      <c r="B795">
        <f t="shared" si="35"/>
        <v>23</v>
      </c>
      <c r="C795">
        <f t="shared" si="37"/>
        <v>94</v>
      </c>
      <c r="D795" t="e" cm="1">
        <f t="array" aca="1" ref="D795" ca="1">INDIRECT("'Uke "&amp;B795&amp;"'!V"&amp;9+C795)</f>
        <v>#REF!</v>
      </c>
      <c r="E795" s="20" t="e" cm="1">
        <f t="array" aca="1" ref="E795" ca="1">INDIRECT("'Uke "&amp;B795&amp;"'!AB"&amp;9+C795)</f>
        <v>#REF!</v>
      </c>
    </row>
    <row r="796" spans="1:5" x14ac:dyDescent="0.25">
      <c r="A796">
        <f t="shared" si="36"/>
        <v>3175</v>
      </c>
      <c r="B796">
        <f t="shared" si="35"/>
        <v>23</v>
      </c>
      <c r="C796">
        <f t="shared" si="37"/>
        <v>95</v>
      </c>
      <c r="D796" t="e" cm="1">
        <f t="array" aca="1" ref="D796" ca="1">INDIRECT("'Uke "&amp;B796&amp;"'!V"&amp;9+C796)</f>
        <v>#REF!</v>
      </c>
      <c r="E796" s="20" t="e" cm="1">
        <f t="array" aca="1" ref="E796" ca="1">INDIRECT("'Uke "&amp;B796&amp;"'!AB"&amp;9+C796)</f>
        <v>#REF!</v>
      </c>
    </row>
    <row r="797" spans="1:5" x14ac:dyDescent="0.25">
      <c r="A797">
        <f t="shared" si="36"/>
        <v>3176</v>
      </c>
      <c r="B797">
        <f t="shared" si="35"/>
        <v>23</v>
      </c>
      <c r="C797">
        <f t="shared" si="37"/>
        <v>96</v>
      </c>
      <c r="D797" t="e" cm="1">
        <f t="array" aca="1" ref="D797" ca="1">INDIRECT("'Uke "&amp;B797&amp;"'!V"&amp;9+C797)</f>
        <v>#REF!</v>
      </c>
      <c r="E797" s="20" t="e" cm="1">
        <f t="array" aca="1" ref="E797" ca="1">INDIRECT("'Uke "&amp;B797&amp;"'!AB"&amp;9+C797)</f>
        <v>#REF!</v>
      </c>
    </row>
    <row r="798" spans="1:5" x14ac:dyDescent="0.25">
      <c r="A798">
        <f t="shared" si="36"/>
        <v>3177</v>
      </c>
      <c r="B798">
        <f t="shared" si="35"/>
        <v>23</v>
      </c>
      <c r="C798">
        <f t="shared" si="37"/>
        <v>97</v>
      </c>
      <c r="D798" t="e" cm="1">
        <f t="array" aca="1" ref="D798" ca="1">INDIRECT("'Uke "&amp;B798&amp;"'!V"&amp;9+C798)</f>
        <v>#REF!</v>
      </c>
      <c r="E798" s="20" t="e" cm="1">
        <f t="array" aca="1" ref="E798" ca="1">INDIRECT("'Uke "&amp;B798&amp;"'!AB"&amp;9+C798)</f>
        <v>#REF!</v>
      </c>
    </row>
    <row r="799" spans="1:5" x14ac:dyDescent="0.25">
      <c r="A799">
        <f t="shared" si="36"/>
        <v>3178</v>
      </c>
      <c r="B799">
        <f t="shared" si="35"/>
        <v>23</v>
      </c>
      <c r="C799">
        <f t="shared" si="37"/>
        <v>98</v>
      </c>
      <c r="D799" t="e" cm="1">
        <f t="array" aca="1" ref="D799" ca="1">INDIRECT("'Uke "&amp;B799&amp;"'!V"&amp;9+C799)</f>
        <v>#REF!</v>
      </c>
      <c r="E799" s="20" t="e" cm="1">
        <f t="array" aca="1" ref="E799" ca="1">INDIRECT("'Uke "&amp;B799&amp;"'!AB"&amp;9+C799)</f>
        <v>#REF!</v>
      </c>
    </row>
    <row r="800" spans="1:5" x14ac:dyDescent="0.25">
      <c r="A800">
        <f t="shared" si="36"/>
        <v>3179</v>
      </c>
      <c r="B800">
        <f t="shared" si="35"/>
        <v>23</v>
      </c>
      <c r="C800">
        <f t="shared" si="37"/>
        <v>99</v>
      </c>
      <c r="D800" t="e" cm="1">
        <f t="array" aca="1" ref="D800" ca="1">INDIRECT("'Uke "&amp;B800&amp;"'!V"&amp;9+C800)</f>
        <v>#REF!</v>
      </c>
      <c r="E800" s="20" t="e" cm="1">
        <f t="array" aca="1" ref="E800" ca="1">INDIRECT("'Uke "&amp;B800&amp;"'!AB"&amp;9+C800)</f>
        <v>#REF!</v>
      </c>
    </row>
    <row r="801" spans="1:5" x14ac:dyDescent="0.25">
      <c r="A801">
        <f t="shared" si="36"/>
        <v>3180</v>
      </c>
      <c r="B801">
        <f t="shared" si="35"/>
        <v>23</v>
      </c>
      <c r="C801">
        <f t="shared" si="37"/>
        <v>100</v>
      </c>
      <c r="D801" t="e" cm="1">
        <f t="array" aca="1" ref="D801" ca="1">INDIRECT("'Uke "&amp;B801&amp;"'!V"&amp;9+C801)</f>
        <v>#REF!</v>
      </c>
      <c r="E801" s="20" t="e" cm="1">
        <f t="array" aca="1" ref="E801" ca="1">INDIRECT("'Uke "&amp;B801&amp;"'!AB"&amp;9+C801)</f>
        <v>#REF!</v>
      </c>
    </row>
    <row r="802" spans="1:5" x14ac:dyDescent="0.25">
      <c r="A802">
        <f t="shared" si="36"/>
        <v>3181</v>
      </c>
      <c r="B802">
        <f t="shared" si="35"/>
        <v>23</v>
      </c>
      <c r="C802">
        <f t="shared" si="37"/>
        <v>101</v>
      </c>
      <c r="D802" t="e" cm="1">
        <f t="array" aca="1" ref="D802" ca="1">INDIRECT("'Uke "&amp;B802&amp;"'!V"&amp;9+C802)</f>
        <v>#REF!</v>
      </c>
      <c r="E802" s="20" t="e" cm="1">
        <f t="array" aca="1" ref="E802" ca="1">INDIRECT("'Uke "&amp;B802&amp;"'!AB"&amp;9+C802)</f>
        <v>#REF!</v>
      </c>
    </row>
    <row r="803" spans="1:5" x14ac:dyDescent="0.25">
      <c r="A803">
        <f t="shared" si="36"/>
        <v>3182</v>
      </c>
      <c r="B803">
        <f t="shared" si="35"/>
        <v>23</v>
      </c>
      <c r="C803">
        <f t="shared" si="37"/>
        <v>102</v>
      </c>
      <c r="D803" t="e" cm="1">
        <f t="array" aca="1" ref="D803" ca="1">INDIRECT("'Uke "&amp;B803&amp;"'!V"&amp;9+C803)</f>
        <v>#REF!</v>
      </c>
      <c r="E803" s="20" t="e" cm="1">
        <f t="array" aca="1" ref="E803" ca="1">INDIRECT("'Uke "&amp;B803&amp;"'!AB"&amp;9+C803)</f>
        <v>#REF!</v>
      </c>
    </row>
    <row r="804" spans="1:5" x14ac:dyDescent="0.25">
      <c r="A804">
        <f t="shared" si="36"/>
        <v>3183</v>
      </c>
      <c r="B804">
        <f t="shared" si="35"/>
        <v>23</v>
      </c>
      <c r="C804">
        <f t="shared" si="37"/>
        <v>103</v>
      </c>
      <c r="D804" t="e" cm="1">
        <f t="array" aca="1" ref="D804" ca="1">INDIRECT("'Uke "&amp;B804&amp;"'!V"&amp;9+C804)</f>
        <v>#REF!</v>
      </c>
      <c r="E804" s="20" t="e" cm="1">
        <f t="array" aca="1" ref="E804" ca="1">INDIRECT("'Uke "&amp;B804&amp;"'!AB"&amp;9+C804)</f>
        <v>#REF!</v>
      </c>
    </row>
    <row r="805" spans="1:5" x14ac:dyDescent="0.25">
      <c r="A805">
        <f t="shared" si="36"/>
        <v>3184</v>
      </c>
      <c r="B805">
        <f t="shared" si="35"/>
        <v>23</v>
      </c>
      <c r="C805">
        <f t="shared" si="37"/>
        <v>104</v>
      </c>
      <c r="D805" t="e" cm="1">
        <f t="array" aca="1" ref="D805" ca="1">INDIRECT("'Uke "&amp;B805&amp;"'!V"&amp;9+C805)</f>
        <v>#REF!</v>
      </c>
      <c r="E805" s="20" t="e" cm="1">
        <f t="array" aca="1" ref="E805" ca="1">INDIRECT("'Uke "&amp;B805&amp;"'!AB"&amp;9+C805)</f>
        <v>#REF!</v>
      </c>
    </row>
    <row r="806" spans="1:5" x14ac:dyDescent="0.25">
      <c r="A806">
        <f t="shared" si="36"/>
        <v>3185</v>
      </c>
      <c r="B806">
        <f t="shared" si="35"/>
        <v>23</v>
      </c>
      <c r="C806">
        <f t="shared" si="37"/>
        <v>105</v>
      </c>
      <c r="D806" t="e" cm="1">
        <f t="array" aca="1" ref="D806" ca="1">INDIRECT("'Uke "&amp;B806&amp;"'!V"&amp;9+C806)</f>
        <v>#REF!</v>
      </c>
      <c r="E806" s="20" t="e" cm="1">
        <f t="array" aca="1" ref="E806" ca="1">INDIRECT("'Uke "&amp;B806&amp;"'!AB"&amp;9+C806)</f>
        <v>#REF!</v>
      </c>
    </row>
    <row r="807" spans="1:5" x14ac:dyDescent="0.25">
      <c r="A807">
        <f t="shared" si="36"/>
        <v>3186</v>
      </c>
      <c r="B807">
        <f t="shared" si="35"/>
        <v>23</v>
      </c>
      <c r="C807">
        <f t="shared" si="37"/>
        <v>106</v>
      </c>
      <c r="D807" t="e" cm="1">
        <f t="array" aca="1" ref="D807" ca="1">INDIRECT("'Uke "&amp;B807&amp;"'!V"&amp;9+C807)</f>
        <v>#REF!</v>
      </c>
      <c r="E807" s="20" t="e" cm="1">
        <f t="array" aca="1" ref="E807" ca="1">INDIRECT("'Uke "&amp;B807&amp;"'!AB"&amp;9+C807)</f>
        <v>#REF!</v>
      </c>
    </row>
    <row r="808" spans="1:5" x14ac:dyDescent="0.25">
      <c r="A808">
        <f t="shared" si="36"/>
        <v>3187</v>
      </c>
      <c r="B808">
        <f t="shared" si="35"/>
        <v>23</v>
      </c>
      <c r="C808">
        <f t="shared" si="37"/>
        <v>107</v>
      </c>
      <c r="D808" t="e" cm="1">
        <f t="array" aca="1" ref="D808" ca="1">INDIRECT("'Uke "&amp;B808&amp;"'!V"&amp;9+C808)</f>
        <v>#REF!</v>
      </c>
      <c r="E808" s="20" t="e" cm="1">
        <f t="array" aca="1" ref="E808" ca="1">INDIRECT("'Uke "&amp;B808&amp;"'!AB"&amp;9+C808)</f>
        <v>#REF!</v>
      </c>
    </row>
    <row r="809" spans="1:5" x14ac:dyDescent="0.25">
      <c r="A809">
        <f t="shared" si="36"/>
        <v>3188</v>
      </c>
      <c r="B809">
        <f t="shared" si="35"/>
        <v>23</v>
      </c>
      <c r="C809">
        <f t="shared" si="37"/>
        <v>108</v>
      </c>
      <c r="D809" t="e" cm="1">
        <f t="array" aca="1" ref="D809" ca="1">INDIRECT("'Uke "&amp;B809&amp;"'!V"&amp;9+C809)</f>
        <v>#REF!</v>
      </c>
      <c r="E809" s="20" t="e" cm="1">
        <f t="array" aca="1" ref="E809" ca="1">INDIRECT("'Uke "&amp;B809&amp;"'!AB"&amp;9+C809)</f>
        <v>#REF!</v>
      </c>
    </row>
    <row r="810" spans="1:5" x14ac:dyDescent="0.25">
      <c r="A810">
        <f t="shared" si="36"/>
        <v>3189</v>
      </c>
      <c r="B810">
        <f t="shared" si="35"/>
        <v>23</v>
      </c>
      <c r="C810">
        <f t="shared" si="37"/>
        <v>109</v>
      </c>
      <c r="D810" t="e" cm="1">
        <f t="array" aca="1" ref="D810" ca="1">INDIRECT("'Uke "&amp;B810&amp;"'!V"&amp;9+C810)</f>
        <v>#REF!</v>
      </c>
      <c r="E810" s="20" t="e" cm="1">
        <f t="array" aca="1" ref="E810" ca="1">INDIRECT("'Uke "&amp;B810&amp;"'!AB"&amp;9+C810)</f>
        <v>#REF!</v>
      </c>
    </row>
    <row r="811" spans="1:5" x14ac:dyDescent="0.25">
      <c r="A811">
        <f t="shared" si="36"/>
        <v>3190</v>
      </c>
      <c r="B811">
        <f t="shared" si="35"/>
        <v>23</v>
      </c>
      <c r="C811">
        <f t="shared" si="37"/>
        <v>110</v>
      </c>
      <c r="D811" t="e" cm="1">
        <f t="array" aca="1" ref="D811" ca="1">INDIRECT("'Uke "&amp;B811&amp;"'!V"&amp;9+C811)</f>
        <v>#REF!</v>
      </c>
      <c r="E811" s="20" t="e" cm="1">
        <f t="array" aca="1" ref="E811" ca="1">INDIRECT("'Uke "&amp;B811&amp;"'!AB"&amp;9+C811)</f>
        <v>#REF!</v>
      </c>
    </row>
    <row r="812" spans="1:5" x14ac:dyDescent="0.25">
      <c r="A812">
        <f t="shared" si="36"/>
        <v>3191</v>
      </c>
      <c r="B812">
        <f t="shared" si="35"/>
        <v>23</v>
      </c>
      <c r="C812">
        <f t="shared" si="37"/>
        <v>111</v>
      </c>
      <c r="D812" t="e" cm="1">
        <f t="array" aca="1" ref="D812" ca="1">INDIRECT("'Uke "&amp;B812&amp;"'!V"&amp;9+C812)</f>
        <v>#REF!</v>
      </c>
      <c r="E812" s="20" t="e" cm="1">
        <f t="array" aca="1" ref="E812" ca="1">INDIRECT("'Uke "&amp;B812&amp;"'!AB"&amp;9+C812)</f>
        <v>#REF!</v>
      </c>
    </row>
    <row r="813" spans="1:5" x14ac:dyDescent="0.25">
      <c r="A813">
        <f t="shared" si="36"/>
        <v>3192</v>
      </c>
      <c r="B813">
        <f t="shared" si="35"/>
        <v>23</v>
      </c>
      <c r="C813">
        <f t="shared" si="37"/>
        <v>112</v>
      </c>
      <c r="D813" t="e" cm="1">
        <f t="array" aca="1" ref="D813" ca="1">INDIRECT("'Uke "&amp;B813&amp;"'!V"&amp;9+C813)</f>
        <v>#REF!</v>
      </c>
      <c r="E813" s="20" t="e" cm="1">
        <f t="array" aca="1" ref="E813" ca="1">INDIRECT("'Uke "&amp;B813&amp;"'!AB"&amp;9+C813)</f>
        <v>#REF!</v>
      </c>
    </row>
    <row r="814" spans="1:5" x14ac:dyDescent="0.25">
      <c r="A814">
        <f t="shared" si="36"/>
        <v>3193</v>
      </c>
      <c r="B814">
        <f t="shared" si="35"/>
        <v>23</v>
      </c>
      <c r="C814">
        <f t="shared" si="37"/>
        <v>113</v>
      </c>
      <c r="D814" t="e" cm="1">
        <f t="array" aca="1" ref="D814" ca="1">INDIRECT("'Uke "&amp;B814&amp;"'!V"&amp;9+C814)</f>
        <v>#REF!</v>
      </c>
      <c r="E814" s="20" t="e" cm="1">
        <f t="array" aca="1" ref="E814" ca="1">INDIRECT("'Uke "&amp;B814&amp;"'!AB"&amp;9+C814)</f>
        <v>#REF!</v>
      </c>
    </row>
    <row r="815" spans="1:5" x14ac:dyDescent="0.25">
      <c r="A815">
        <f t="shared" si="36"/>
        <v>3194</v>
      </c>
      <c r="B815">
        <f t="shared" si="35"/>
        <v>23</v>
      </c>
      <c r="C815">
        <f t="shared" si="37"/>
        <v>114</v>
      </c>
      <c r="D815" t="e" cm="1">
        <f t="array" aca="1" ref="D815" ca="1">INDIRECT("'Uke "&amp;B815&amp;"'!V"&amp;9+C815)</f>
        <v>#REF!</v>
      </c>
      <c r="E815" s="20" t="e" cm="1">
        <f t="array" aca="1" ref="E815" ca="1">INDIRECT("'Uke "&amp;B815&amp;"'!AB"&amp;9+C815)</f>
        <v>#REF!</v>
      </c>
    </row>
    <row r="816" spans="1:5" x14ac:dyDescent="0.25">
      <c r="A816">
        <f t="shared" si="36"/>
        <v>3195</v>
      </c>
      <c r="B816">
        <f t="shared" si="35"/>
        <v>23</v>
      </c>
      <c r="C816">
        <f t="shared" si="37"/>
        <v>115</v>
      </c>
      <c r="D816" t="e" cm="1">
        <f t="array" aca="1" ref="D816" ca="1">INDIRECT("'Uke "&amp;B816&amp;"'!V"&amp;9+C816)</f>
        <v>#REF!</v>
      </c>
      <c r="E816" s="20" t="e" cm="1">
        <f t="array" aca="1" ref="E816" ca="1">INDIRECT("'Uke "&amp;B816&amp;"'!AB"&amp;9+C816)</f>
        <v>#REF!</v>
      </c>
    </row>
    <row r="817" spans="1:5" x14ac:dyDescent="0.25">
      <c r="A817">
        <f t="shared" si="36"/>
        <v>3196</v>
      </c>
      <c r="B817">
        <f t="shared" si="35"/>
        <v>23</v>
      </c>
      <c r="C817">
        <f t="shared" si="37"/>
        <v>116</v>
      </c>
      <c r="D817" t="e" cm="1">
        <f t="array" aca="1" ref="D817" ca="1">INDIRECT("'Uke "&amp;B817&amp;"'!V"&amp;9+C817)</f>
        <v>#REF!</v>
      </c>
      <c r="E817" s="20" t="e" cm="1">
        <f t="array" aca="1" ref="E817" ca="1">INDIRECT("'Uke "&amp;B817&amp;"'!AB"&amp;9+C817)</f>
        <v>#REF!</v>
      </c>
    </row>
    <row r="818" spans="1:5" x14ac:dyDescent="0.25">
      <c r="A818">
        <f t="shared" si="36"/>
        <v>3197</v>
      </c>
      <c r="B818">
        <f t="shared" si="35"/>
        <v>23</v>
      </c>
      <c r="C818">
        <f t="shared" si="37"/>
        <v>117</v>
      </c>
      <c r="D818" t="e" cm="1">
        <f t="array" aca="1" ref="D818" ca="1">INDIRECT("'Uke "&amp;B818&amp;"'!V"&amp;9+C818)</f>
        <v>#REF!</v>
      </c>
      <c r="E818" s="20" t="e" cm="1">
        <f t="array" aca="1" ref="E818" ca="1">INDIRECT("'Uke "&amp;B818&amp;"'!AB"&amp;9+C818)</f>
        <v>#REF!</v>
      </c>
    </row>
    <row r="819" spans="1:5" x14ac:dyDescent="0.25">
      <c r="A819">
        <f t="shared" si="36"/>
        <v>3198</v>
      </c>
      <c r="B819">
        <f t="shared" si="35"/>
        <v>23</v>
      </c>
      <c r="C819">
        <f t="shared" si="37"/>
        <v>118</v>
      </c>
      <c r="D819" t="e" cm="1">
        <f t="array" aca="1" ref="D819" ca="1">INDIRECT("'Uke "&amp;B819&amp;"'!V"&amp;9+C819)</f>
        <v>#REF!</v>
      </c>
      <c r="E819" s="20" t="e" cm="1">
        <f t="array" aca="1" ref="E819" ca="1">INDIRECT("'Uke "&amp;B819&amp;"'!AB"&amp;9+C819)</f>
        <v>#REF!</v>
      </c>
    </row>
    <row r="820" spans="1:5" x14ac:dyDescent="0.25">
      <c r="A820">
        <f t="shared" si="36"/>
        <v>3199</v>
      </c>
      <c r="B820">
        <f t="shared" si="35"/>
        <v>23</v>
      </c>
      <c r="C820">
        <f t="shared" si="37"/>
        <v>119</v>
      </c>
      <c r="D820" t="e" cm="1">
        <f t="array" aca="1" ref="D820" ca="1">INDIRECT("'Uke "&amp;B820&amp;"'!V"&amp;9+C820)</f>
        <v>#REF!</v>
      </c>
      <c r="E820" s="20" t="e" cm="1">
        <f t="array" aca="1" ref="E820" ca="1">INDIRECT("'Uke "&amp;B820&amp;"'!AB"&amp;9+C820)</f>
        <v>#REF!</v>
      </c>
    </row>
    <row r="821" spans="1:5" x14ac:dyDescent="0.25">
      <c r="A821">
        <f t="shared" si="36"/>
        <v>3200</v>
      </c>
      <c r="B821">
        <f t="shared" si="35"/>
        <v>23</v>
      </c>
      <c r="C821">
        <f t="shared" si="37"/>
        <v>120</v>
      </c>
      <c r="D821" t="e" cm="1">
        <f t="array" aca="1" ref="D821" ca="1">INDIRECT("'Uke "&amp;B821&amp;"'!V"&amp;9+C821)</f>
        <v>#REF!</v>
      </c>
      <c r="E821" s="20" t="e" cm="1">
        <f t="array" aca="1" ref="E821" ca="1">INDIRECT("'Uke "&amp;B821&amp;"'!AB"&amp;9+C821)</f>
        <v>#REF!</v>
      </c>
    </row>
    <row r="822" spans="1:5" x14ac:dyDescent="0.25">
      <c r="A822">
        <f t="shared" si="36"/>
        <v>3201</v>
      </c>
      <c r="B822">
        <f t="shared" si="35"/>
        <v>23</v>
      </c>
      <c r="C822">
        <f t="shared" si="37"/>
        <v>121</v>
      </c>
      <c r="D822" t="e" cm="1">
        <f t="array" aca="1" ref="D822" ca="1">INDIRECT("'Uke "&amp;B822&amp;"'!V"&amp;9+C822)</f>
        <v>#REF!</v>
      </c>
      <c r="E822" s="20" t="e" cm="1">
        <f t="array" aca="1" ref="E822" ca="1">INDIRECT("'Uke "&amp;B822&amp;"'!AB"&amp;9+C822)</f>
        <v>#REF!</v>
      </c>
    </row>
    <row r="823" spans="1:5" x14ac:dyDescent="0.25">
      <c r="A823">
        <f t="shared" si="36"/>
        <v>3202</v>
      </c>
      <c r="B823">
        <f t="shared" si="35"/>
        <v>23</v>
      </c>
      <c r="C823">
        <f t="shared" si="37"/>
        <v>122</v>
      </c>
      <c r="D823" t="e" cm="1">
        <f t="array" aca="1" ref="D823" ca="1">INDIRECT("'Uke "&amp;B823&amp;"'!V"&amp;9+C823)</f>
        <v>#REF!</v>
      </c>
      <c r="E823" s="20" t="e" cm="1">
        <f t="array" aca="1" ref="E823" ca="1">INDIRECT("'Uke "&amp;B823&amp;"'!AB"&amp;9+C823)</f>
        <v>#REF!</v>
      </c>
    </row>
    <row r="824" spans="1:5" x14ac:dyDescent="0.25">
      <c r="A824">
        <f t="shared" si="36"/>
        <v>3203</v>
      </c>
      <c r="B824">
        <f t="shared" si="35"/>
        <v>23</v>
      </c>
      <c r="C824">
        <f t="shared" si="37"/>
        <v>123</v>
      </c>
      <c r="D824" t="e" cm="1">
        <f t="array" aca="1" ref="D824" ca="1">INDIRECT("'Uke "&amp;B824&amp;"'!V"&amp;9+C824)</f>
        <v>#REF!</v>
      </c>
      <c r="E824" s="20" t="e" cm="1">
        <f t="array" aca="1" ref="E824" ca="1">INDIRECT("'Uke "&amp;B824&amp;"'!AB"&amp;9+C824)</f>
        <v>#REF!</v>
      </c>
    </row>
    <row r="825" spans="1:5" x14ac:dyDescent="0.25">
      <c r="A825">
        <f t="shared" si="36"/>
        <v>3204</v>
      </c>
      <c r="B825">
        <f t="shared" si="35"/>
        <v>23</v>
      </c>
      <c r="C825">
        <f t="shared" si="37"/>
        <v>124</v>
      </c>
      <c r="D825" t="e" cm="1">
        <f t="array" aca="1" ref="D825" ca="1">INDIRECT("'Uke "&amp;B825&amp;"'!V"&amp;9+C825)</f>
        <v>#REF!</v>
      </c>
      <c r="E825" s="20" t="e" cm="1">
        <f t="array" aca="1" ref="E825" ca="1">INDIRECT("'Uke "&amp;B825&amp;"'!AB"&amp;9+C825)</f>
        <v>#REF!</v>
      </c>
    </row>
    <row r="826" spans="1:5" x14ac:dyDescent="0.25">
      <c r="A826">
        <f t="shared" si="36"/>
        <v>3205</v>
      </c>
      <c r="B826">
        <f t="shared" si="35"/>
        <v>23</v>
      </c>
      <c r="C826">
        <f t="shared" si="37"/>
        <v>125</v>
      </c>
      <c r="D826" t="e" cm="1">
        <f t="array" aca="1" ref="D826" ca="1">INDIRECT("'Uke "&amp;B826&amp;"'!V"&amp;9+C826)</f>
        <v>#REF!</v>
      </c>
      <c r="E826" s="20" t="e" cm="1">
        <f t="array" aca="1" ref="E826" ca="1">INDIRECT("'Uke "&amp;B826&amp;"'!AB"&amp;9+C826)</f>
        <v>#REF!</v>
      </c>
    </row>
    <row r="827" spans="1:5" x14ac:dyDescent="0.25">
      <c r="A827">
        <f t="shared" si="36"/>
        <v>3206</v>
      </c>
      <c r="B827">
        <f t="shared" si="35"/>
        <v>23</v>
      </c>
      <c r="C827">
        <f t="shared" si="37"/>
        <v>126</v>
      </c>
      <c r="D827" t="e" cm="1">
        <f t="array" aca="1" ref="D827" ca="1">INDIRECT("'Uke "&amp;B827&amp;"'!V"&amp;9+C827)</f>
        <v>#REF!</v>
      </c>
      <c r="E827" s="20" t="e" cm="1">
        <f t="array" aca="1" ref="E827" ca="1">INDIRECT("'Uke "&amp;B827&amp;"'!AB"&amp;9+C827)</f>
        <v>#REF!</v>
      </c>
    </row>
    <row r="828" spans="1:5" x14ac:dyDescent="0.25">
      <c r="A828">
        <f t="shared" si="36"/>
        <v>3207</v>
      </c>
      <c r="B828">
        <f t="shared" si="35"/>
        <v>23</v>
      </c>
      <c r="C828">
        <f t="shared" si="37"/>
        <v>127</v>
      </c>
      <c r="D828" t="e" cm="1">
        <f t="array" aca="1" ref="D828" ca="1">INDIRECT("'Uke "&amp;B828&amp;"'!V"&amp;9+C828)</f>
        <v>#REF!</v>
      </c>
      <c r="E828" s="20" t="e" cm="1">
        <f t="array" aca="1" ref="E828" ca="1">INDIRECT("'Uke "&amp;B828&amp;"'!AB"&amp;9+C828)</f>
        <v>#REF!</v>
      </c>
    </row>
    <row r="829" spans="1:5" x14ac:dyDescent="0.25">
      <c r="A829">
        <f t="shared" si="36"/>
        <v>3208</v>
      </c>
      <c r="B829">
        <f t="shared" si="35"/>
        <v>23</v>
      </c>
      <c r="C829">
        <f t="shared" si="37"/>
        <v>128</v>
      </c>
      <c r="D829" t="e" cm="1">
        <f t="array" aca="1" ref="D829" ca="1">INDIRECT("'Uke "&amp;B829&amp;"'!V"&amp;9+C829)</f>
        <v>#REF!</v>
      </c>
      <c r="E829" s="20" t="e" cm="1">
        <f t="array" aca="1" ref="E829" ca="1">INDIRECT("'Uke "&amp;B829&amp;"'!AB"&amp;9+C829)</f>
        <v>#REF!</v>
      </c>
    </row>
    <row r="830" spans="1:5" x14ac:dyDescent="0.25">
      <c r="A830">
        <f t="shared" si="36"/>
        <v>3209</v>
      </c>
      <c r="B830">
        <f t="shared" si="35"/>
        <v>23</v>
      </c>
      <c r="C830">
        <f t="shared" si="37"/>
        <v>129</v>
      </c>
      <c r="D830" t="e" cm="1">
        <f t="array" aca="1" ref="D830" ca="1">INDIRECT("'Uke "&amp;B830&amp;"'!V"&amp;9+C830)</f>
        <v>#REF!</v>
      </c>
      <c r="E830" s="20" t="e" cm="1">
        <f t="array" aca="1" ref="E830" ca="1">INDIRECT("'Uke "&amp;B830&amp;"'!AB"&amp;9+C830)</f>
        <v>#REF!</v>
      </c>
    </row>
    <row r="831" spans="1:5" x14ac:dyDescent="0.25">
      <c r="A831">
        <f t="shared" si="36"/>
        <v>3210</v>
      </c>
      <c r="B831">
        <f t="shared" si="35"/>
        <v>23</v>
      </c>
      <c r="C831">
        <f t="shared" si="37"/>
        <v>130</v>
      </c>
      <c r="D831" t="e" cm="1">
        <f t="array" aca="1" ref="D831" ca="1">INDIRECT("'Uke "&amp;B831&amp;"'!V"&amp;9+C831)</f>
        <v>#REF!</v>
      </c>
      <c r="E831" s="20" t="e" cm="1">
        <f t="array" aca="1" ref="E831" ca="1">INDIRECT("'Uke "&amp;B831&amp;"'!AB"&amp;9+C831)</f>
        <v>#REF!</v>
      </c>
    </row>
    <row r="832" spans="1:5" x14ac:dyDescent="0.25">
      <c r="A832">
        <f t="shared" si="36"/>
        <v>3211</v>
      </c>
      <c r="B832">
        <f t="shared" si="35"/>
        <v>23</v>
      </c>
      <c r="C832">
        <f t="shared" si="37"/>
        <v>131</v>
      </c>
      <c r="D832" t="e" cm="1">
        <f t="array" aca="1" ref="D832" ca="1">INDIRECT("'Uke "&amp;B832&amp;"'!V"&amp;9+C832)</f>
        <v>#REF!</v>
      </c>
      <c r="E832" s="20" t="e" cm="1">
        <f t="array" aca="1" ref="E832" ca="1">INDIRECT("'Uke "&amp;B832&amp;"'!AB"&amp;9+C832)</f>
        <v>#REF!</v>
      </c>
    </row>
    <row r="833" spans="1:5" x14ac:dyDescent="0.25">
      <c r="A833">
        <f t="shared" si="36"/>
        <v>3212</v>
      </c>
      <c r="B833">
        <f t="shared" si="35"/>
        <v>23</v>
      </c>
      <c r="C833">
        <f t="shared" si="37"/>
        <v>132</v>
      </c>
      <c r="D833" t="e" cm="1">
        <f t="array" aca="1" ref="D833" ca="1">INDIRECT("'Uke "&amp;B833&amp;"'!V"&amp;9+C833)</f>
        <v>#REF!</v>
      </c>
      <c r="E833" s="20" t="e" cm="1">
        <f t="array" aca="1" ref="E833" ca="1">INDIRECT("'Uke "&amp;B833&amp;"'!AB"&amp;9+C833)</f>
        <v>#REF!</v>
      </c>
    </row>
    <row r="834" spans="1:5" x14ac:dyDescent="0.25">
      <c r="A834">
        <f t="shared" si="36"/>
        <v>3213</v>
      </c>
      <c r="B834">
        <f t="shared" ref="B834:B841" si="38">INT((A834-1)/140)+1</f>
        <v>23</v>
      </c>
      <c r="C834">
        <f t="shared" si="37"/>
        <v>133</v>
      </c>
      <c r="D834" t="e" cm="1">
        <f t="array" aca="1" ref="D834" ca="1">INDIRECT("'Uke "&amp;B834&amp;"'!V"&amp;9+C834)</f>
        <v>#REF!</v>
      </c>
      <c r="E834" s="20" t="e" cm="1">
        <f t="array" aca="1" ref="E834" ca="1">INDIRECT("'Uke "&amp;B834&amp;"'!AB"&amp;9+C834)</f>
        <v>#REF!</v>
      </c>
    </row>
    <row r="835" spans="1:5" x14ac:dyDescent="0.25">
      <c r="A835">
        <f t="shared" si="36"/>
        <v>3214</v>
      </c>
      <c r="B835">
        <f t="shared" si="38"/>
        <v>23</v>
      </c>
      <c r="C835">
        <f t="shared" si="37"/>
        <v>134</v>
      </c>
      <c r="D835" t="e" cm="1">
        <f t="array" aca="1" ref="D835" ca="1">INDIRECT("'Uke "&amp;B835&amp;"'!V"&amp;9+C835)</f>
        <v>#REF!</v>
      </c>
      <c r="E835" s="20" t="e" cm="1">
        <f t="array" aca="1" ref="E835" ca="1">INDIRECT("'Uke "&amp;B835&amp;"'!AB"&amp;9+C835)</f>
        <v>#REF!</v>
      </c>
    </row>
    <row r="836" spans="1:5" x14ac:dyDescent="0.25">
      <c r="A836">
        <f t="shared" si="36"/>
        <v>3215</v>
      </c>
      <c r="B836">
        <f t="shared" si="38"/>
        <v>23</v>
      </c>
      <c r="C836">
        <f t="shared" si="37"/>
        <v>135</v>
      </c>
      <c r="D836" t="e" cm="1">
        <f t="array" aca="1" ref="D836" ca="1">INDIRECT("'Uke "&amp;B836&amp;"'!V"&amp;9+C836)</f>
        <v>#REF!</v>
      </c>
      <c r="E836" s="20" t="e" cm="1">
        <f t="array" aca="1" ref="E836" ca="1">INDIRECT("'Uke "&amp;B836&amp;"'!AB"&amp;9+C836)</f>
        <v>#REF!</v>
      </c>
    </row>
    <row r="837" spans="1:5" x14ac:dyDescent="0.25">
      <c r="A837">
        <f t="shared" si="36"/>
        <v>3216</v>
      </c>
      <c r="B837">
        <f t="shared" si="38"/>
        <v>23</v>
      </c>
      <c r="C837">
        <f t="shared" si="37"/>
        <v>136</v>
      </c>
      <c r="D837" t="e" cm="1">
        <f t="array" aca="1" ref="D837" ca="1">INDIRECT("'Uke "&amp;B837&amp;"'!V"&amp;9+C837)</f>
        <v>#REF!</v>
      </c>
      <c r="E837" s="20" t="e" cm="1">
        <f t="array" aca="1" ref="E837" ca="1">INDIRECT("'Uke "&amp;B837&amp;"'!AB"&amp;9+C837)</f>
        <v>#REF!</v>
      </c>
    </row>
    <row r="838" spans="1:5" x14ac:dyDescent="0.25">
      <c r="A838">
        <f t="shared" si="36"/>
        <v>3217</v>
      </c>
      <c r="B838">
        <f t="shared" si="38"/>
        <v>23</v>
      </c>
      <c r="C838">
        <f t="shared" si="37"/>
        <v>137</v>
      </c>
      <c r="D838" t="e" cm="1">
        <f t="array" aca="1" ref="D838" ca="1">INDIRECT("'Uke "&amp;B838&amp;"'!V"&amp;9+C838)</f>
        <v>#REF!</v>
      </c>
      <c r="E838" s="20" t="e" cm="1">
        <f t="array" aca="1" ref="E838" ca="1">INDIRECT("'Uke "&amp;B838&amp;"'!AB"&amp;9+C838)</f>
        <v>#REF!</v>
      </c>
    </row>
    <row r="839" spans="1:5" x14ac:dyDescent="0.25">
      <c r="A839">
        <f t="shared" si="36"/>
        <v>3218</v>
      </c>
      <c r="B839">
        <f t="shared" si="38"/>
        <v>23</v>
      </c>
      <c r="C839">
        <f t="shared" si="37"/>
        <v>138</v>
      </c>
      <c r="D839" t="e" cm="1">
        <f t="array" aca="1" ref="D839" ca="1">INDIRECT("'Uke "&amp;B839&amp;"'!V"&amp;9+C839)</f>
        <v>#REF!</v>
      </c>
      <c r="E839" s="20" t="e" cm="1">
        <f t="array" aca="1" ref="E839" ca="1">INDIRECT("'Uke "&amp;B839&amp;"'!AB"&amp;9+C839)</f>
        <v>#REF!</v>
      </c>
    </row>
    <row r="840" spans="1:5" x14ac:dyDescent="0.25">
      <c r="A840">
        <f t="shared" si="36"/>
        <v>3219</v>
      </c>
      <c r="B840">
        <f t="shared" si="38"/>
        <v>23</v>
      </c>
      <c r="C840">
        <f t="shared" si="37"/>
        <v>139</v>
      </c>
      <c r="D840" t="e" cm="1">
        <f t="array" aca="1" ref="D840" ca="1">INDIRECT("'Uke "&amp;B840&amp;"'!V"&amp;9+C840)</f>
        <v>#REF!</v>
      </c>
      <c r="E840" s="20" t="e" cm="1">
        <f t="array" aca="1" ref="E840" ca="1">INDIRECT("'Uke "&amp;B840&amp;"'!AB"&amp;9+C840)</f>
        <v>#REF!</v>
      </c>
    </row>
    <row r="841" spans="1:5" x14ac:dyDescent="0.25">
      <c r="A841">
        <f t="shared" si="36"/>
        <v>3220</v>
      </c>
      <c r="B841">
        <f t="shared" si="38"/>
        <v>23</v>
      </c>
      <c r="C841">
        <f t="shared" si="37"/>
        <v>140</v>
      </c>
      <c r="D841" t="e" cm="1">
        <f t="array" aca="1" ref="D841" ca="1">INDIRECT("'Uke "&amp;B841&amp;"'!V"&amp;9+C841)</f>
        <v>#REF!</v>
      </c>
      <c r="E841" s="20" t="e" cm="1">
        <f t="array" aca="1" ref="E841" ca="1">INDIRECT("'Uke "&amp;B841&amp;"'!AB"&amp;9+C841)</f>
        <v>#REF!</v>
      </c>
    </row>
    <row r="842" spans="1:5" x14ac:dyDescent="0.25">
      <c r="E842" s="20"/>
    </row>
    <row r="843" spans="1:5" x14ac:dyDescent="0.25">
      <c r="E843" s="20"/>
    </row>
    <row r="844" spans="1:5" x14ac:dyDescent="0.25">
      <c r="E844" s="20"/>
    </row>
    <row r="845" spans="1:5" x14ac:dyDescent="0.25">
      <c r="E845" s="20"/>
    </row>
    <row r="846" spans="1:5" x14ac:dyDescent="0.25">
      <c r="E846" s="20"/>
    </row>
    <row r="847" spans="1:5" x14ac:dyDescent="0.25">
      <c r="E847" s="20"/>
    </row>
    <row r="848" spans="1:5" x14ac:dyDescent="0.25">
      <c r="E848" s="20"/>
    </row>
    <row r="849" spans="5:5" x14ac:dyDescent="0.25">
      <c r="E849" s="20"/>
    </row>
    <row r="850" spans="5:5" x14ac:dyDescent="0.25">
      <c r="E850" s="20"/>
    </row>
    <row r="851" spans="5:5" x14ac:dyDescent="0.25">
      <c r="E851" s="20"/>
    </row>
    <row r="852" spans="5:5" x14ac:dyDescent="0.25">
      <c r="E852" s="20"/>
    </row>
    <row r="853" spans="5:5" x14ac:dyDescent="0.25">
      <c r="E853" s="20"/>
    </row>
    <row r="854" spans="5:5" x14ac:dyDescent="0.25">
      <c r="E854" s="20"/>
    </row>
    <row r="855" spans="5:5" x14ac:dyDescent="0.25">
      <c r="E855" s="20"/>
    </row>
    <row r="856" spans="5:5" x14ac:dyDescent="0.25">
      <c r="E856" s="20"/>
    </row>
    <row r="857" spans="5:5" x14ac:dyDescent="0.25">
      <c r="E857" s="20"/>
    </row>
    <row r="858" spans="5:5" x14ac:dyDescent="0.25">
      <c r="E858" s="20"/>
    </row>
    <row r="859" spans="5:5" x14ac:dyDescent="0.25">
      <c r="E859" s="20"/>
    </row>
    <row r="860" spans="5:5" x14ac:dyDescent="0.25">
      <c r="E860" s="20"/>
    </row>
    <row r="861" spans="5:5" x14ac:dyDescent="0.25">
      <c r="E861" s="20"/>
    </row>
    <row r="862" spans="5:5" x14ac:dyDescent="0.25">
      <c r="E862" s="20"/>
    </row>
    <row r="863" spans="5:5" x14ac:dyDescent="0.25">
      <c r="E863" s="20"/>
    </row>
    <row r="864" spans="5:5" x14ac:dyDescent="0.25">
      <c r="E864" s="20"/>
    </row>
    <row r="865" spans="5:5" x14ac:dyDescent="0.25">
      <c r="E865" s="20"/>
    </row>
    <row r="866" spans="5:5" x14ac:dyDescent="0.25">
      <c r="E866" s="20"/>
    </row>
    <row r="867" spans="5:5" x14ac:dyDescent="0.25">
      <c r="E867" s="20"/>
    </row>
    <row r="868" spans="5:5" x14ac:dyDescent="0.25">
      <c r="E868" s="20"/>
    </row>
    <row r="869" spans="5:5" x14ac:dyDescent="0.25">
      <c r="E869" s="20"/>
    </row>
    <row r="870" spans="5:5" x14ac:dyDescent="0.25">
      <c r="E870" s="20"/>
    </row>
    <row r="871" spans="5:5" x14ac:dyDescent="0.25">
      <c r="E871" s="20"/>
    </row>
    <row r="872" spans="5:5" x14ac:dyDescent="0.25">
      <c r="E872" s="20"/>
    </row>
    <row r="873" spans="5:5" x14ac:dyDescent="0.25">
      <c r="E873" s="20"/>
    </row>
    <row r="874" spans="5:5" x14ac:dyDescent="0.25">
      <c r="E874" s="20"/>
    </row>
    <row r="875" spans="5:5" x14ac:dyDescent="0.25">
      <c r="E875" s="20"/>
    </row>
    <row r="876" spans="5:5" x14ac:dyDescent="0.25">
      <c r="E876" s="20"/>
    </row>
    <row r="877" spans="5:5" x14ac:dyDescent="0.25">
      <c r="E877" s="20"/>
    </row>
    <row r="878" spans="5:5" x14ac:dyDescent="0.25">
      <c r="E878" s="20"/>
    </row>
    <row r="879" spans="5:5" x14ac:dyDescent="0.25">
      <c r="E879" s="20"/>
    </row>
    <row r="880" spans="5:5" x14ac:dyDescent="0.25">
      <c r="E880" s="20"/>
    </row>
    <row r="881" spans="5:5" x14ac:dyDescent="0.25">
      <c r="E881" s="20"/>
    </row>
    <row r="882" spans="5:5" x14ac:dyDescent="0.25">
      <c r="E882" s="20"/>
    </row>
    <row r="883" spans="5:5" x14ac:dyDescent="0.25">
      <c r="E883" s="20"/>
    </row>
    <row r="884" spans="5:5" x14ac:dyDescent="0.25">
      <c r="E884" s="20"/>
    </row>
    <row r="885" spans="5:5" x14ac:dyDescent="0.25">
      <c r="E885" s="20"/>
    </row>
    <row r="886" spans="5:5" x14ac:dyDescent="0.25">
      <c r="E886" s="20"/>
    </row>
    <row r="887" spans="5:5" x14ac:dyDescent="0.25">
      <c r="E887" s="20"/>
    </row>
    <row r="888" spans="5:5" x14ac:dyDescent="0.25">
      <c r="E888" s="20"/>
    </row>
    <row r="889" spans="5:5" x14ac:dyDescent="0.25">
      <c r="E889" s="20"/>
    </row>
    <row r="890" spans="5:5" x14ac:dyDescent="0.25">
      <c r="E890" s="20"/>
    </row>
    <row r="891" spans="5:5" x14ac:dyDescent="0.25">
      <c r="E891" s="20"/>
    </row>
    <row r="892" spans="5:5" x14ac:dyDescent="0.25">
      <c r="E892" s="20"/>
    </row>
    <row r="893" spans="5:5" x14ac:dyDescent="0.25">
      <c r="E893" s="20"/>
    </row>
    <row r="894" spans="5:5" x14ac:dyDescent="0.25">
      <c r="E894" s="20"/>
    </row>
    <row r="895" spans="5:5" x14ac:dyDescent="0.25">
      <c r="E895" s="20"/>
    </row>
    <row r="896" spans="5:5" x14ac:dyDescent="0.25">
      <c r="E896" s="20"/>
    </row>
    <row r="897" spans="5:5" x14ac:dyDescent="0.25">
      <c r="E897" s="20"/>
    </row>
    <row r="898" spans="5:5" x14ac:dyDescent="0.25">
      <c r="E898" s="20"/>
    </row>
    <row r="899" spans="5:5" x14ac:dyDescent="0.25">
      <c r="E899" s="20"/>
    </row>
    <row r="900" spans="5:5" x14ac:dyDescent="0.25">
      <c r="E900" s="20"/>
    </row>
    <row r="901" spans="5:5" x14ac:dyDescent="0.25">
      <c r="E901" s="20"/>
    </row>
    <row r="902" spans="5:5" x14ac:dyDescent="0.25">
      <c r="E902" s="20"/>
    </row>
    <row r="903" spans="5:5" x14ac:dyDescent="0.25">
      <c r="E903" s="20"/>
    </row>
    <row r="904" spans="5:5" x14ac:dyDescent="0.25">
      <c r="E904" s="20"/>
    </row>
    <row r="905" spans="5:5" x14ac:dyDescent="0.25">
      <c r="E905" s="20"/>
    </row>
    <row r="906" spans="5:5" x14ac:dyDescent="0.25">
      <c r="E906" s="20"/>
    </row>
    <row r="907" spans="5:5" x14ac:dyDescent="0.25">
      <c r="E907" s="20"/>
    </row>
    <row r="908" spans="5:5" x14ac:dyDescent="0.25">
      <c r="E908" s="20"/>
    </row>
    <row r="909" spans="5:5" x14ac:dyDescent="0.25">
      <c r="E909" s="20"/>
    </row>
    <row r="910" spans="5:5" x14ac:dyDescent="0.25">
      <c r="E910" s="20"/>
    </row>
    <row r="911" spans="5:5" x14ac:dyDescent="0.25">
      <c r="E911" s="20"/>
    </row>
    <row r="912" spans="5:5" x14ac:dyDescent="0.25">
      <c r="E912" s="20"/>
    </row>
    <row r="913" spans="5:5" x14ac:dyDescent="0.25">
      <c r="E913" s="20"/>
    </row>
    <row r="914" spans="5:5" x14ac:dyDescent="0.25">
      <c r="E914" s="20"/>
    </row>
    <row r="915" spans="5:5" x14ac:dyDescent="0.25">
      <c r="E915" s="20"/>
    </row>
    <row r="916" spans="5:5" x14ac:dyDescent="0.25">
      <c r="E916" s="20"/>
    </row>
    <row r="917" spans="5:5" x14ac:dyDescent="0.25">
      <c r="E917" s="20"/>
    </row>
    <row r="918" spans="5:5" x14ac:dyDescent="0.25">
      <c r="E918" s="20"/>
    </row>
    <row r="919" spans="5:5" x14ac:dyDescent="0.25">
      <c r="E919" s="20"/>
    </row>
    <row r="920" spans="5:5" x14ac:dyDescent="0.25">
      <c r="E920" s="20"/>
    </row>
    <row r="921" spans="5:5" x14ac:dyDescent="0.25">
      <c r="E921" s="20"/>
    </row>
    <row r="922" spans="5:5" x14ac:dyDescent="0.25">
      <c r="E922" s="20"/>
    </row>
    <row r="923" spans="5:5" x14ac:dyDescent="0.25">
      <c r="E923" s="20"/>
    </row>
    <row r="924" spans="5:5" x14ac:dyDescent="0.25">
      <c r="E924" s="20"/>
    </row>
    <row r="925" spans="5:5" x14ac:dyDescent="0.25">
      <c r="E925" s="20"/>
    </row>
    <row r="926" spans="5:5" x14ac:dyDescent="0.25">
      <c r="E926" s="20"/>
    </row>
    <row r="927" spans="5:5" x14ac:dyDescent="0.25">
      <c r="E927" s="20"/>
    </row>
    <row r="928" spans="5:5" x14ac:dyDescent="0.25">
      <c r="E928" s="20"/>
    </row>
    <row r="929" spans="5:5" x14ac:dyDescent="0.25">
      <c r="E929" s="20"/>
    </row>
    <row r="930" spans="5:5" x14ac:dyDescent="0.25">
      <c r="E930" s="20"/>
    </row>
    <row r="931" spans="5:5" x14ac:dyDescent="0.25">
      <c r="E931" s="20"/>
    </row>
    <row r="932" spans="5:5" x14ac:dyDescent="0.25">
      <c r="E932" s="20"/>
    </row>
    <row r="933" spans="5:5" x14ac:dyDescent="0.25">
      <c r="E933" s="20"/>
    </row>
    <row r="934" spans="5:5" x14ac:dyDescent="0.25">
      <c r="E934" s="20"/>
    </row>
    <row r="935" spans="5:5" x14ac:dyDescent="0.25">
      <c r="E935" s="20"/>
    </row>
    <row r="936" spans="5:5" x14ac:dyDescent="0.25">
      <c r="E936" s="20"/>
    </row>
    <row r="937" spans="5:5" x14ac:dyDescent="0.25">
      <c r="E937" s="20"/>
    </row>
    <row r="938" spans="5:5" x14ac:dyDescent="0.25">
      <c r="E938" s="20"/>
    </row>
    <row r="939" spans="5:5" x14ac:dyDescent="0.25">
      <c r="E939" s="20"/>
    </row>
    <row r="940" spans="5:5" x14ac:dyDescent="0.25">
      <c r="E940" s="20"/>
    </row>
    <row r="941" spans="5:5" x14ac:dyDescent="0.25">
      <c r="E941" s="20"/>
    </row>
    <row r="942" spans="5:5" x14ac:dyDescent="0.25">
      <c r="E942" s="20"/>
    </row>
    <row r="943" spans="5:5" x14ac:dyDescent="0.25">
      <c r="E943" s="20"/>
    </row>
    <row r="944" spans="5:5" x14ac:dyDescent="0.25">
      <c r="E944" s="20"/>
    </row>
    <row r="945" spans="5:5" x14ac:dyDescent="0.25">
      <c r="E945" s="20"/>
    </row>
    <row r="946" spans="5:5" x14ac:dyDescent="0.25">
      <c r="E946" s="20"/>
    </row>
    <row r="947" spans="5:5" x14ac:dyDescent="0.25">
      <c r="E947" s="20"/>
    </row>
    <row r="948" spans="5:5" x14ac:dyDescent="0.25">
      <c r="E948" s="20"/>
    </row>
    <row r="949" spans="5:5" x14ac:dyDescent="0.25">
      <c r="E949" s="20"/>
    </row>
    <row r="950" spans="5:5" x14ac:dyDescent="0.25">
      <c r="E950" s="20"/>
    </row>
    <row r="951" spans="5:5" x14ac:dyDescent="0.25">
      <c r="E951" s="20"/>
    </row>
    <row r="952" spans="5:5" x14ac:dyDescent="0.25">
      <c r="E952" s="20"/>
    </row>
    <row r="953" spans="5:5" x14ac:dyDescent="0.25">
      <c r="E953" s="20"/>
    </row>
    <row r="954" spans="5:5" x14ac:dyDescent="0.25">
      <c r="E954" s="20"/>
    </row>
    <row r="955" spans="5:5" x14ac:dyDescent="0.25">
      <c r="E955" s="20"/>
    </row>
    <row r="956" spans="5:5" x14ac:dyDescent="0.25">
      <c r="E956" s="20"/>
    </row>
    <row r="957" spans="5:5" x14ac:dyDescent="0.25">
      <c r="E957" s="20"/>
    </row>
    <row r="958" spans="5:5" x14ac:dyDescent="0.25">
      <c r="E958" s="20"/>
    </row>
    <row r="959" spans="5:5" x14ac:dyDescent="0.25">
      <c r="E959" s="20"/>
    </row>
    <row r="960" spans="5:5" x14ac:dyDescent="0.25">
      <c r="E960" s="20"/>
    </row>
    <row r="961" spans="5:5" x14ac:dyDescent="0.25">
      <c r="E961" s="20"/>
    </row>
    <row r="962" spans="5:5" x14ac:dyDescent="0.25">
      <c r="E962" s="20"/>
    </row>
    <row r="963" spans="5:5" x14ac:dyDescent="0.25">
      <c r="E963" s="20"/>
    </row>
    <row r="964" spans="5:5" x14ac:dyDescent="0.25">
      <c r="E964" s="20"/>
    </row>
    <row r="965" spans="5:5" x14ac:dyDescent="0.25">
      <c r="E965" s="20"/>
    </row>
    <row r="966" spans="5:5" x14ac:dyDescent="0.25">
      <c r="E966" s="20"/>
    </row>
    <row r="967" spans="5:5" x14ac:dyDescent="0.25">
      <c r="E967" s="20"/>
    </row>
    <row r="968" spans="5:5" x14ac:dyDescent="0.25">
      <c r="E968" s="20"/>
    </row>
    <row r="969" spans="5:5" x14ac:dyDescent="0.25">
      <c r="E969" s="20"/>
    </row>
    <row r="970" spans="5:5" x14ac:dyDescent="0.25">
      <c r="E970" s="20"/>
    </row>
    <row r="971" spans="5:5" x14ac:dyDescent="0.25">
      <c r="E971" s="20"/>
    </row>
    <row r="972" spans="5:5" x14ac:dyDescent="0.25">
      <c r="E972" s="20"/>
    </row>
    <row r="973" spans="5:5" x14ac:dyDescent="0.25">
      <c r="E973" s="20"/>
    </row>
    <row r="974" spans="5:5" x14ac:dyDescent="0.25">
      <c r="E974" s="20"/>
    </row>
    <row r="975" spans="5:5" x14ac:dyDescent="0.25">
      <c r="E975" s="20"/>
    </row>
    <row r="976" spans="5:5" x14ac:dyDescent="0.25">
      <c r="E976" s="20"/>
    </row>
    <row r="977" spans="5:5" x14ac:dyDescent="0.25">
      <c r="E977" s="20"/>
    </row>
    <row r="978" spans="5:5" x14ac:dyDescent="0.25">
      <c r="E978" s="20"/>
    </row>
    <row r="979" spans="5:5" x14ac:dyDescent="0.25">
      <c r="E979" s="20"/>
    </row>
    <row r="980" spans="5:5" x14ac:dyDescent="0.25">
      <c r="E980" s="20"/>
    </row>
    <row r="981" spans="5:5" x14ac:dyDescent="0.25">
      <c r="E981" s="20"/>
    </row>
    <row r="982" spans="5:5" x14ac:dyDescent="0.25">
      <c r="E982" s="20"/>
    </row>
    <row r="983" spans="5:5" x14ac:dyDescent="0.25">
      <c r="E983" s="20"/>
    </row>
    <row r="984" spans="5:5" x14ac:dyDescent="0.25">
      <c r="E984" s="20"/>
    </row>
    <row r="985" spans="5:5" x14ac:dyDescent="0.25">
      <c r="E985" s="20"/>
    </row>
    <row r="986" spans="5:5" x14ac:dyDescent="0.25">
      <c r="E986" s="20"/>
    </row>
    <row r="987" spans="5:5" x14ac:dyDescent="0.25">
      <c r="E987" s="20"/>
    </row>
    <row r="988" spans="5:5" x14ac:dyDescent="0.25">
      <c r="E988" s="20"/>
    </row>
    <row r="989" spans="5:5" x14ac:dyDescent="0.25">
      <c r="E989" s="20"/>
    </row>
    <row r="990" spans="5:5" x14ac:dyDescent="0.25">
      <c r="E990" s="20"/>
    </row>
    <row r="991" spans="5:5" x14ac:dyDescent="0.25">
      <c r="E991" s="20"/>
    </row>
    <row r="992" spans="5:5" x14ac:dyDescent="0.25">
      <c r="E992" s="20"/>
    </row>
    <row r="993" spans="5:5" x14ac:dyDescent="0.25">
      <c r="E993" s="20"/>
    </row>
    <row r="994" spans="5:5" x14ac:dyDescent="0.25">
      <c r="E994" s="20"/>
    </row>
    <row r="995" spans="5:5" x14ac:dyDescent="0.25">
      <c r="E995" s="20"/>
    </row>
    <row r="996" spans="5:5" x14ac:dyDescent="0.25">
      <c r="E996" s="20"/>
    </row>
    <row r="997" spans="5:5" x14ac:dyDescent="0.25">
      <c r="E997" s="20"/>
    </row>
    <row r="998" spans="5:5" x14ac:dyDescent="0.25">
      <c r="E998" s="20"/>
    </row>
    <row r="999" spans="5:5" x14ac:dyDescent="0.25">
      <c r="E999" s="20"/>
    </row>
    <row r="1000" spans="5:5" x14ac:dyDescent="0.25">
      <c r="E1000" s="20"/>
    </row>
    <row r="1001" spans="5:5" x14ac:dyDescent="0.25">
      <c r="E1001" s="20"/>
    </row>
    <row r="1002" spans="5:5" x14ac:dyDescent="0.25">
      <c r="E1002" s="20"/>
    </row>
    <row r="1003" spans="5:5" x14ac:dyDescent="0.25">
      <c r="E1003" s="20"/>
    </row>
    <row r="1004" spans="5:5" x14ac:dyDescent="0.25">
      <c r="E1004" s="20"/>
    </row>
    <row r="1005" spans="5:5" x14ac:dyDescent="0.25">
      <c r="E1005" s="20"/>
    </row>
    <row r="1006" spans="5:5" x14ac:dyDescent="0.25">
      <c r="E1006" s="20"/>
    </row>
    <row r="1007" spans="5:5" x14ac:dyDescent="0.25">
      <c r="E1007" s="20"/>
    </row>
    <row r="1008" spans="5:5" x14ac:dyDescent="0.25">
      <c r="E1008" s="20"/>
    </row>
    <row r="1009" spans="5:5" x14ac:dyDescent="0.25">
      <c r="E1009" s="20"/>
    </row>
    <row r="1010" spans="5:5" x14ac:dyDescent="0.25">
      <c r="E1010" s="20"/>
    </row>
    <row r="1011" spans="5:5" x14ac:dyDescent="0.25">
      <c r="E1011" s="20"/>
    </row>
    <row r="1012" spans="5:5" x14ac:dyDescent="0.25">
      <c r="E1012" s="20"/>
    </row>
    <row r="1013" spans="5:5" x14ac:dyDescent="0.25">
      <c r="E1013" s="20"/>
    </row>
    <row r="1014" spans="5:5" x14ac:dyDescent="0.25">
      <c r="E1014" s="20"/>
    </row>
    <row r="1015" spans="5:5" x14ac:dyDescent="0.25">
      <c r="E1015" s="20"/>
    </row>
    <row r="1016" spans="5:5" x14ac:dyDescent="0.25">
      <c r="E1016" s="20"/>
    </row>
    <row r="1017" spans="5:5" x14ac:dyDescent="0.25">
      <c r="E1017" s="20"/>
    </row>
    <row r="1018" spans="5:5" x14ac:dyDescent="0.25">
      <c r="E1018" s="20"/>
    </row>
    <row r="1019" spans="5:5" x14ac:dyDescent="0.25">
      <c r="E1019" s="20"/>
    </row>
    <row r="1020" spans="5:5" x14ac:dyDescent="0.25">
      <c r="E1020" s="20"/>
    </row>
    <row r="1021" spans="5:5" x14ac:dyDescent="0.25">
      <c r="E1021" s="20"/>
    </row>
    <row r="1022" spans="5:5" x14ac:dyDescent="0.25">
      <c r="E1022" s="20"/>
    </row>
    <row r="1023" spans="5:5" x14ac:dyDescent="0.25">
      <c r="E1023" s="20"/>
    </row>
    <row r="1024" spans="5:5" x14ac:dyDescent="0.25">
      <c r="E1024" s="20"/>
    </row>
    <row r="1025" spans="5:5" x14ac:dyDescent="0.25">
      <c r="E1025" s="20"/>
    </row>
    <row r="1026" spans="5:5" x14ac:dyDescent="0.25">
      <c r="E1026" s="20"/>
    </row>
    <row r="1027" spans="5:5" x14ac:dyDescent="0.25">
      <c r="E1027" s="20"/>
    </row>
    <row r="1028" spans="5:5" x14ac:dyDescent="0.25">
      <c r="E1028" s="20"/>
    </row>
    <row r="1029" spans="5:5" x14ac:dyDescent="0.25">
      <c r="E1029" s="20"/>
    </row>
    <row r="1030" spans="5:5" x14ac:dyDescent="0.25">
      <c r="E1030" s="20"/>
    </row>
    <row r="1031" spans="5:5" x14ac:dyDescent="0.25">
      <c r="E1031" s="20"/>
    </row>
    <row r="1032" spans="5:5" x14ac:dyDescent="0.25">
      <c r="E1032" s="20"/>
    </row>
    <row r="1033" spans="5:5" x14ac:dyDescent="0.25">
      <c r="E1033" s="20"/>
    </row>
    <row r="1034" spans="5:5" x14ac:dyDescent="0.25">
      <c r="E1034" s="20"/>
    </row>
    <row r="1035" spans="5:5" x14ac:dyDescent="0.25">
      <c r="E1035" s="20"/>
    </row>
    <row r="1036" spans="5:5" x14ac:dyDescent="0.25">
      <c r="E1036" s="20"/>
    </row>
    <row r="1037" spans="5:5" x14ac:dyDescent="0.25">
      <c r="E1037" s="20"/>
    </row>
    <row r="1038" spans="5:5" x14ac:dyDescent="0.25">
      <c r="E1038" s="20"/>
    </row>
    <row r="1039" spans="5:5" x14ac:dyDescent="0.25">
      <c r="E1039" s="20"/>
    </row>
    <row r="1040" spans="5:5" x14ac:dyDescent="0.25">
      <c r="E1040" s="20"/>
    </row>
    <row r="1041" spans="5:5" x14ac:dyDescent="0.25">
      <c r="E1041" s="20"/>
    </row>
    <row r="1042" spans="5:5" x14ac:dyDescent="0.25">
      <c r="E1042" s="20"/>
    </row>
    <row r="1043" spans="5:5" x14ac:dyDescent="0.25">
      <c r="E1043" s="20"/>
    </row>
    <row r="1044" spans="5:5" x14ac:dyDescent="0.25">
      <c r="E1044" s="20"/>
    </row>
    <row r="1045" spans="5:5" x14ac:dyDescent="0.25">
      <c r="E1045" s="20"/>
    </row>
    <row r="1046" spans="5:5" x14ac:dyDescent="0.25">
      <c r="E1046" s="20"/>
    </row>
    <row r="1047" spans="5:5" x14ac:dyDescent="0.25">
      <c r="E1047" s="20"/>
    </row>
    <row r="1048" spans="5:5" x14ac:dyDescent="0.25">
      <c r="E1048" s="20"/>
    </row>
    <row r="1049" spans="5:5" x14ac:dyDescent="0.25">
      <c r="E1049" s="20"/>
    </row>
    <row r="1050" spans="5:5" x14ac:dyDescent="0.25">
      <c r="E1050" s="20"/>
    </row>
    <row r="1051" spans="5:5" x14ac:dyDescent="0.25">
      <c r="E1051" s="20"/>
    </row>
    <row r="1052" spans="5:5" x14ac:dyDescent="0.25">
      <c r="E1052" s="20"/>
    </row>
    <row r="1053" spans="5:5" x14ac:dyDescent="0.25">
      <c r="E1053" s="20"/>
    </row>
    <row r="1054" spans="5:5" x14ac:dyDescent="0.25">
      <c r="E1054" s="20"/>
    </row>
    <row r="1055" spans="5:5" x14ac:dyDescent="0.25">
      <c r="E1055" s="20"/>
    </row>
    <row r="1056" spans="5:5" x14ac:dyDescent="0.25">
      <c r="E1056" s="20"/>
    </row>
    <row r="1057" spans="5:5" x14ac:dyDescent="0.25">
      <c r="E1057" s="20"/>
    </row>
    <row r="1058" spans="5:5" x14ac:dyDescent="0.25">
      <c r="E1058" s="20"/>
    </row>
    <row r="1059" spans="5:5" x14ac:dyDescent="0.25">
      <c r="E1059" s="20"/>
    </row>
    <row r="1060" spans="5:5" x14ac:dyDescent="0.25">
      <c r="E1060" s="20"/>
    </row>
    <row r="1061" spans="5:5" x14ac:dyDescent="0.25">
      <c r="E1061" s="20"/>
    </row>
    <row r="1062" spans="5:5" x14ac:dyDescent="0.25">
      <c r="E1062" s="20"/>
    </row>
    <row r="1063" spans="5:5" x14ac:dyDescent="0.25">
      <c r="E1063" s="20"/>
    </row>
    <row r="1064" spans="5:5" x14ac:dyDescent="0.25">
      <c r="E1064" s="20"/>
    </row>
    <row r="1065" spans="5:5" x14ac:dyDescent="0.25">
      <c r="E1065" s="20"/>
    </row>
    <row r="1066" spans="5:5" x14ac:dyDescent="0.25">
      <c r="E1066" s="20"/>
    </row>
    <row r="1067" spans="5:5" x14ac:dyDescent="0.25">
      <c r="E1067" s="20"/>
    </row>
    <row r="1068" spans="5:5" x14ac:dyDescent="0.25">
      <c r="E1068" s="20"/>
    </row>
    <row r="1069" spans="5:5" x14ac:dyDescent="0.25">
      <c r="E1069" s="20"/>
    </row>
    <row r="1070" spans="5:5" x14ac:dyDescent="0.25">
      <c r="E1070" s="20"/>
    </row>
    <row r="1071" spans="5:5" x14ac:dyDescent="0.25">
      <c r="E1071" s="20"/>
    </row>
    <row r="1072" spans="5:5" x14ac:dyDescent="0.25">
      <c r="E1072" s="20"/>
    </row>
    <row r="1073" spans="5:5" x14ac:dyDescent="0.25">
      <c r="E1073" s="20"/>
    </row>
    <row r="1074" spans="5:5" x14ac:dyDescent="0.25">
      <c r="E1074" s="20"/>
    </row>
    <row r="1075" spans="5:5" x14ac:dyDescent="0.25">
      <c r="E1075" s="20"/>
    </row>
    <row r="1076" spans="5:5" x14ac:dyDescent="0.25">
      <c r="E1076" s="20"/>
    </row>
    <row r="1077" spans="5:5" x14ac:dyDescent="0.25">
      <c r="E1077" s="20"/>
    </row>
    <row r="1078" spans="5:5" x14ac:dyDescent="0.25">
      <c r="E1078" s="20"/>
    </row>
    <row r="1079" spans="5:5" x14ac:dyDescent="0.25">
      <c r="E1079" s="20"/>
    </row>
    <row r="1080" spans="5:5" x14ac:dyDescent="0.25">
      <c r="E1080" s="20"/>
    </row>
    <row r="1081" spans="5:5" x14ac:dyDescent="0.25">
      <c r="E1081" s="20"/>
    </row>
    <row r="1082" spans="5:5" x14ac:dyDescent="0.25">
      <c r="E1082" s="20"/>
    </row>
    <row r="1083" spans="5:5" x14ac:dyDescent="0.25">
      <c r="E1083" s="20"/>
    </row>
    <row r="1084" spans="5:5" x14ac:dyDescent="0.25">
      <c r="E1084" s="20"/>
    </row>
    <row r="1085" spans="5:5" x14ac:dyDescent="0.25">
      <c r="E1085" s="20"/>
    </row>
    <row r="1086" spans="5:5" x14ac:dyDescent="0.25">
      <c r="E1086" s="20"/>
    </row>
    <row r="1087" spans="5:5" x14ac:dyDescent="0.25">
      <c r="E1087" s="20"/>
    </row>
    <row r="1088" spans="5:5" x14ac:dyDescent="0.25">
      <c r="E1088" s="20"/>
    </row>
    <row r="1089" spans="5:5" x14ac:dyDescent="0.25">
      <c r="E1089" s="20"/>
    </row>
    <row r="1090" spans="5:5" x14ac:dyDescent="0.25">
      <c r="E1090" s="20"/>
    </row>
    <row r="1091" spans="5:5" x14ac:dyDescent="0.25">
      <c r="E1091" s="20"/>
    </row>
    <row r="1092" spans="5:5" x14ac:dyDescent="0.25">
      <c r="E1092" s="20"/>
    </row>
    <row r="1093" spans="5:5" x14ac:dyDescent="0.25">
      <c r="E1093" s="20"/>
    </row>
    <row r="1094" spans="5:5" x14ac:dyDescent="0.25">
      <c r="E1094" s="20"/>
    </row>
    <row r="1095" spans="5:5" x14ac:dyDescent="0.25">
      <c r="E1095" s="20"/>
    </row>
    <row r="1096" spans="5:5" x14ac:dyDescent="0.25">
      <c r="E1096" s="20"/>
    </row>
    <row r="1097" spans="5:5" x14ac:dyDescent="0.25">
      <c r="E1097" s="20"/>
    </row>
    <row r="1098" spans="5:5" x14ac:dyDescent="0.25">
      <c r="E1098" s="20"/>
    </row>
    <row r="1099" spans="5:5" x14ac:dyDescent="0.25">
      <c r="E1099" s="20"/>
    </row>
    <row r="1100" spans="5:5" x14ac:dyDescent="0.25">
      <c r="E1100" s="20"/>
    </row>
    <row r="1101" spans="5:5" x14ac:dyDescent="0.25">
      <c r="E1101" s="20"/>
    </row>
    <row r="1102" spans="5:5" x14ac:dyDescent="0.25">
      <c r="E1102" s="20"/>
    </row>
    <row r="1103" spans="5:5" x14ac:dyDescent="0.25">
      <c r="E1103" s="20"/>
    </row>
    <row r="1104" spans="5:5" x14ac:dyDescent="0.25">
      <c r="E1104" s="20"/>
    </row>
    <row r="1105" spans="5:5" x14ac:dyDescent="0.25">
      <c r="E1105" s="20"/>
    </row>
    <row r="1106" spans="5:5" x14ac:dyDescent="0.25">
      <c r="E1106" s="20"/>
    </row>
    <row r="1107" spans="5:5" x14ac:dyDescent="0.25">
      <c r="E1107" s="20"/>
    </row>
    <row r="1108" spans="5:5" x14ac:dyDescent="0.25">
      <c r="E1108" s="20"/>
    </row>
    <row r="1109" spans="5:5" x14ac:dyDescent="0.25">
      <c r="E1109" s="20"/>
    </row>
    <row r="1110" spans="5:5" x14ac:dyDescent="0.25">
      <c r="E1110" s="20"/>
    </row>
    <row r="1111" spans="5:5" x14ac:dyDescent="0.25">
      <c r="E1111" s="20"/>
    </row>
    <row r="1112" spans="5:5" x14ac:dyDescent="0.25">
      <c r="E1112" s="20"/>
    </row>
    <row r="1113" spans="5:5" x14ac:dyDescent="0.25">
      <c r="E1113" s="20"/>
    </row>
    <row r="1114" spans="5:5" x14ac:dyDescent="0.25">
      <c r="E1114" s="20"/>
    </row>
    <row r="1115" spans="5:5" x14ac:dyDescent="0.25">
      <c r="E1115" s="20"/>
    </row>
    <row r="1116" spans="5:5" x14ac:dyDescent="0.25">
      <c r="E1116" s="20"/>
    </row>
    <row r="1117" spans="5:5" x14ac:dyDescent="0.25">
      <c r="E1117" s="20"/>
    </row>
    <row r="1118" spans="5:5" x14ac:dyDescent="0.25">
      <c r="E1118" s="20"/>
    </row>
    <row r="1119" spans="5:5" x14ac:dyDescent="0.25">
      <c r="E1119" s="20"/>
    </row>
    <row r="1120" spans="5:5" x14ac:dyDescent="0.25">
      <c r="E1120" s="20"/>
    </row>
    <row r="1121" spans="5:5" x14ac:dyDescent="0.25">
      <c r="E1121" s="20"/>
    </row>
    <row r="1122" spans="5:5" x14ac:dyDescent="0.25">
      <c r="E1122" s="20"/>
    </row>
    <row r="1123" spans="5:5" x14ac:dyDescent="0.25">
      <c r="E1123" s="20"/>
    </row>
    <row r="1124" spans="5:5" x14ac:dyDescent="0.25">
      <c r="E1124" s="20"/>
    </row>
    <row r="1125" spans="5:5" x14ac:dyDescent="0.25">
      <c r="E1125" s="20"/>
    </row>
    <row r="1126" spans="5:5" x14ac:dyDescent="0.25">
      <c r="E1126" s="20"/>
    </row>
    <row r="1127" spans="5:5" x14ac:dyDescent="0.25">
      <c r="E1127" s="20"/>
    </row>
    <row r="1128" spans="5:5" x14ac:dyDescent="0.25">
      <c r="E1128" s="20"/>
    </row>
    <row r="1129" spans="5:5" x14ac:dyDescent="0.25">
      <c r="E1129" s="20"/>
    </row>
    <row r="1130" spans="5:5" x14ac:dyDescent="0.25">
      <c r="E1130" s="20"/>
    </row>
    <row r="1131" spans="5:5" x14ac:dyDescent="0.25">
      <c r="E1131" s="20"/>
    </row>
    <row r="1132" spans="5:5" x14ac:dyDescent="0.25">
      <c r="E1132" s="20"/>
    </row>
    <row r="1133" spans="5:5" x14ac:dyDescent="0.25">
      <c r="E1133" s="20"/>
    </row>
    <row r="1134" spans="5:5" x14ac:dyDescent="0.25">
      <c r="E1134" s="20"/>
    </row>
    <row r="1135" spans="5:5" x14ac:dyDescent="0.25">
      <c r="E1135" s="20"/>
    </row>
    <row r="1136" spans="5:5" x14ac:dyDescent="0.25">
      <c r="E1136" s="20"/>
    </row>
    <row r="1137" spans="5:5" x14ac:dyDescent="0.25">
      <c r="E1137" s="20"/>
    </row>
    <row r="1138" spans="5:5" x14ac:dyDescent="0.25">
      <c r="E1138" s="20"/>
    </row>
    <row r="1139" spans="5:5" x14ac:dyDescent="0.25">
      <c r="E1139" s="20"/>
    </row>
    <row r="1140" spans="5:5" x14ac:dyDescent="0.25">
      <c r="E1140" s="20"/>
    </row>
    <row r="1141" spans="5:5" x14ac:dyDescent="0.25">
      <c r="E1141" s="20"/>
    </row>
    <row r="1142" spans="5:5" x14ac:dyDescent="0.25">
      <c r="E1142" s="20"/>
    </row>
    <row r="1143" spans="5:5" x14ac:dyDescent="0.25">
      <c r="E1143" s="20"/>
    </row>
    <row r="1144" spans="5:5" x14ac:dyDescent="0.25">
      <c r="E1144" s="20"/>
    </row>
    <row r="1145" spans="5:5" x14ac:dyDescent="0.25">
      <c r="E1145" s="20"/>
    </row>
    <row r="1146" spans="5:5" x14ac:dyDescent="0.25">
      <c r="E1146" s="20"/>
    </row>
    <row r="1147" spans="5:5" x14ac:dyDescent="0.25">
      <c r="E1147" s="20"/>
    </row>
    <row r="1148" spans="5:5" x14ac:dyDescent="0.25">
      <c r="E1148" s="20"/>
    </row>
    <row r="1149" spans="5:5" x14ac:dyDescent="0.25">
      <c r="E1149" s="20"/>
    </row>
    <row r="1150" spans="5:5" x14ac:dyDescent="0.25">
      <c r="E1150" s="20"/>
    </row>
    <row r="1151" spans="5:5" x14ac:dyDescent="0.25">
      <c r="E1151" s="20"/>
    </row>
    <row r="1152" spans="5:5" x14ac:dyDescent="0.25">
      <c r="E1152" s="20"/>
    </row>
    <row r="1153" spans="5:5" x14ac:dyDescent="0.25">
      <c r="E1153" s="20"/>
    </row>
    <row r="1154" spans="5:5" x14ac:dyDescent="0.25">
      <c r="E1154" s="20"/>
    </row>
    <row r="1155" spans="5:5" x14ac:dyDescent="0.25">
      <c r="E1155" s="20"/>
    </row>
    <row r="1156" spans="5:5" x14ac:dyDescent="0.25">
      <c r="E1156" s="20"/>
    </row>
    <row r="1157" spans="5:5" x14ac:dyDescent="0.25">
      <c r="E1157" s="20"/>
    </row>
    <row r="1158" spans="5:5" x14ac:dyDescent="0.25">
      <c r="E1158" s="20"/>
    </row>
    <row r="1159" spans="5:5" x14ac:dyDescent="0.25">
      <c r="E1159" s="20"/>
    </row>
    <row r="1160" spans="5:5" x14ac:dyDescent="0.25">
      <c r="E1160" s="20"/>
    </row>
    <row r="1161" spans="5:5" x14ac:dyDescent="0.25">
      <c r="E1161" s="20"/>
    </row>
    <row r="1162" spans="5:5" x14ac:dyDescent="0.25">
      <c r="E1162" s="20"/>
    </row>
    <row r="1163" spans="5:5" x14ac:dyDescent="0.25">
      <c r="E1163" s="20"/>
    </row>
    <row r="1164" spans="5:5" x14ac:dyDescent="0.25">
      <c r="E1164" s="20"/>
    </row>
    <row r="1165" spans="5:5" x14ac:dyDescent="0.25">
      <c r="E1165" s="20"/>
    </row>
    <row r="1166" spans="5:5" x14ac:dyDescent="0.25">
      <c r="E1166" s="20"/>
    </row>
    <row r="1167" spans="5:5" x14ac:dyDescent="0.25">
      <c r="E1167" s="20"/>
    </row>
    <row r="1168" spans="5:5" x14ac:dyDescent="0.25">
      <c r="E1168" s="20"/>
    </row>
    <row r="1169" spans="5:5" x14ac:dyDescent="0.25">
      <c r="E1169" s="20"/>
    </row>
    <row r="1170" spans="5:5" x14ac:dyDescent="0.25">
      <c r="E1170" s="20"/>
    </row>
    <row r="1171" spans="5:5" x14ac:dyDescent="0.25">
      <c r="E1171" s="20"/>
    </row>
    <row r="1172" spans="5:5" x14ac:dyDescent="0.25">
      <c r="E1172" s="20"/>
    </row>
    <row r="1173" spans="5:5" x14ac:dyDescent="0.25">
      <c r="E1173" s="20"/>
    </row>
    <row r="1174" spans="5:5" x14ac:dyDescent="0.25">
      <c r="E1174" s="20"/>
    </row>
    <row r="1175" spans="5:5" x14ac:dyDescent="0.25">
      <c r="E1175" s="20"/>
    </row>
    <row r="1176" spans="5:5" x14ac:dyDescent="0.25">
      <c r="E1176" s="20"/>
    </row>
    <row r="1177" spans="5:5" x14ac:dyDescent="0.25">
      <c r="E1177" s="20"/>
    </row>
    <row r="1178" spans="5:5" x14ac:dyDescent="0.25">
      <c r="E1178" s="20"/>
    </row>
    <row r="1179" spans="5:5" x14ac:dyDescent="0.25">
      <c r="E1179" s="20"/>
    </row>
    <row r="1180" spans="5:5" x14ac:dyDescent="0.25">
      <c r="E1180" s="20"/>
    </row>
    <row r="1181" spans="5:5" x14ac:dyDescent="0.25">
      <c r="E1181" s="20"/>
    </row>
    <row r="1182" spans="5:5" x14ac:dyDescent="0.25">
      <c r="E1182" s="20"/>
    </row>
    <row r="1183" spans="5:5" x14ac:dyDescent="0.25">
      <c r="E1183" s="20"/>
    </row>
    <row r="1184" spans="5:5" x14ac:dyDescent="0.25">
      <c r="E1184" s="20"/>
    </row>
    <row r="1185" spans="5:5" x14ac:dyDescent="0.25">
      <c r="E1185" s="20"/>
    </row>
    <row r="1186" spans="5:5" x14ac:dyDescent="0.25">
      <c r="E1186" s="20"/>
    </row>
    <row r="1187" spans="5:5" x14ac:dyDescent="0.25">
      <c r="E1187" s="20"/>
    </row>
    <row r="1188" spans="5:5" x14ac:dyDescent="0.25">
      <c r="E1188" s="20"/>
    </row>
    <row r="1189" spans="5:5" x14ac:dyDescent="0.25">
      <c r="E1189" s="20"/>
    </row>
    <row r="1190" spans="5:5" x14ac:dyDescent="0.25">
      <c r="E1190" s="20"/>
    </row>
    <row r="1191" spans="5:5" x14ac:dyDescent="0.25">
      <c r="E1191" s="20"/>
    </row>
    <row r="1192" spans="5:5" x14ac:dyDescent="0.25">
      <c r="E1192" s="20"/>
    </row>
    <row r="1193" spans="5:5" x14ac:dyDescent="0.25">
      <c r="E1193" s="20"/>
    </row>
    <row r="1194" spans="5:5" x14ac:dyDescent="0.25">
      <c r="E1194" s="20"/>
    </row>
    <row r="1195" spans="5:5" x14ac:dyDescent="0.25">
      <c r="E1195" s="20"/>
    </row>
    <row r="1196" spans="5:5" x14ac:dyDescent="0.25">
      <c r="E1196" s="20"/>
    </row>
    <row r="1197" spans="5:5" x14ac:dyDescent="0.25">
      <c r="E1197" s="20"/>
    </row>
    <row r="1198" spans="5:5" x14ac:dyDescent="0.25">
      <c r="E1198" s="20"/>
    </row>
    <row r="1199" spans="5:5" x14ac:dyDescent="0.25">
      <c r="E1199" s="20"/>
    </row>
    <row r="1200" spans="5:5" x14ac:dyDescent="0.25">
      <c r="E1200" s="20"/>
    </row>
    <row r="1201" spans="5:5" x14ac:dyDescent="0.25">
      <c r="E1201" s="20"/>
    </row>
    <row r="1202" spans="5:5" x14ac:dyDescent="0.25">
      <c r="E1202" s="20"/>
    </row>
    <row r="1203" spans="5:5" x14ac:dyDescent="0.25">
      <c r="E1203" s="20"/>
    </row>
    <row r="1204" spans="5:5" x14ac:dyDescent="0.25">
      <c r="E1204" s="20"/>
    </row>
    <row r="1205" spans="5:5" x14ac:dyDescent="0.25">
      <c r="E1205" s="20"/>
    </row>
    <row r="1206" spans="5:5" x14ac:dyDescent="0.25">
      <c r="E1206" s="20"/>
    </row>
    <row r="1207" spans="5:5" x14ac:dyDescent="0.25">
      <c r="E1207" s="20"/>
    </row>
    <row r="1208" spans="5:5" x14ac:dyDescent="0.25">
      <c r="E1208" s="20"/>
    </row>
    <row r="1209" spans="5:5" x14ac:dyDescent="0.25">
      <c r="E1209" s="20"/>
    </row>
    <row r="1210" spans="5:5" x14ac:dyDescent="0.25">
      <c r="E1210" s="20"/>
    </row>
    <row r="1211" spans="5:5" x14ac:dyDescent="0.25">
      <c r="E1211" s="20"/>
    </row>
    <row r="1212" spans="5:5" x14ac:dyDescent="0.25">
      <c r="E1212" s="20"/>
    </row>
    <row r="1213" spans="5:5" x14ac:dyDescent="0.25">
      <c r="E1213" s="20"/>
    </row>
    <row r="1214" spans="5:5" x14ac:dyDescent="0.25">
      <c r="E1214" s="20"/>
    </row>
    <row r="1215" spans="5:5" x14ac:dyDescent="0.25">
      <c r="E1215" s="20"/>
    </row>
    <row r="1216" spans="5:5" x14ac:dyDescent="0.25">
      <c r="E1216" s="20"/>
    </row>
    <row r="1217" spans="5:5" x14ac:dyDescent="0.25">
      <c r="E1217" s="20"/>
    </row>
    <row r="1218" spans="5:5" x14ac:dyDescent="0.25">
      <c r="E1218" s="20"/>
    </row>
    <row r="1219" spans="5:5" x14ac:dyDescent="0.25">
      <c r="E1219" s="20"/>
    </row>
    <row r="1220" spans="5:5" x14ac:dyDescent="0.25">
      <c r="E1220" s="20"/>
    </row>
    <row r="1221" spans="5:5" x14ac:dyDescent="0.25">
      <c r="E1221" s="20"/>
    </row>
    <row r="1222" spans="5:5" x14ac:dyDescent="0.25">
      <c r="E1222" s="20"/>
    </row>
    <row r="1223" spans="5:5" x14ac:dyDescent="0.25">
      <c r="E1223" s="20"/>
    </row>
    <row r="1224" spans="5:5" x14ac:dyDescent="0.25">
      <c r="E1224" s="20"/>
    </row>
    <row r="1225" spans="5:5" x14ac:dyDescent="0.25">
      <c r="E1225" s="20"/>
    </row>
    <row r="1226" spans="5:5" x14ac:dyDescent="0.25">
      <c r="E1226" s="20"/>
    </row>
    <row r="1227" spans="5:5" x14ac:dyDescent="0.25">
      <c r="E1227" s="20"/>
    </row>
    <row r="1228" spans="5:5" x14ac:dyDescent="0.25">
      <c r="E1228" s="20"/>
    </row>
    <row r="1229" spans="5:5" x14ac:dyDescent="0.25">
      <c r="E1229" s="20"/>
    </row>
    <row r="1230" spans="5:5" x14ac:dyDescent="0.25">
      <c r="E1230" s="20"/>
    </row>
    <row r="1231" spans="5:5" x14ac:dyDescent="0.25">
      <c r="E1231" s="20"/>
    </row>
    <row r="1232" spans="5:5" x14ac:dyDescent="0.25">
      <c r="E1232" s="20"/>
    </row>
    <row r="1233" spans="5:5" x14ac:dyDescent="0.25">
      <c r="E1233" s="20"/>
    </row>
    <row r="1234" spans="5:5" x14ac:dyDescent="0.25">
      <c r="E1234" s="20"/>
    </row>
    <row r="1235" spans="5:5" x14ac:dyDescent="0.25">
      <c r="E1235" s="20"/>
    </row>
    <row r="1236" spans="5:5" x14ac:dyDescent="0.25">
      <c r="E1236" s="20"/>
    </row>
    <row r="1237" spans="5:5" x14ac:dyDescent="0.25">
      <c r="E1237" s="20"/>
    </row>
    <row r="1238" spans="5:5" x14ac:dyDescent="0.25">
      <c r="E1238" s="20"/>
    </row>
    <row r="1239" spans="5:5" x14ac:dyDescent="0.25">
      <c r="E1239" s="20"/>
    </row>
    <row r="1240" spans="5:5" x14ac:dyDescent="0.25">
      <c r="E1240" s="20"/>
    </row>
    <row r="1241" spans="5:5" x14ac:dyDescent="0.25">
      <c r="E1241" s="20"/>
    </row>
    <row r="1242" spans="5:5" x14ac:dyDescent="0.25">
      <c r="E1242" s="20"/>
    </row>
    <row r="1243" spans="5:5" x14ac:dyDescent="0.25">
      <c r="E1243" s="20"/>
    </row>
    <row r="1244" spans="5:5" x14ac:dyDescent="0.25">
      <c r="E1244" s="20"/>
    </row>
    <row r="1245" spans="5:5" x14ac:dyDescent="0.25">
      <c r="E1245" s="20"/>
    </row>
    <row r="1246" spans="5:5" x14ac:dyDescent="0.25">
      <c r="E1246" s="20"/>
    </row>
    <row r="1247" spans="5:5" x14ac:dyDescent="0.25">
      <c r="E1247" s="20"/>
    </row>
    <row r="1248" spans="5:5" x14ac:dyDescent="0.25">
      <c r="E1248" s="20"/>
    </row>
    <row r="1249" spans="5:5" x14ac:dyDescent="0.25">
      <c r="E1249" s="20"/>
    </row>
    <row r="1250" spans="5:5" x14ac:dyDescent="0.25">
      <c r="E1250" s="20"/>
    </row>
    <row r="1251" spans="5:5" x14ac:dyDescent="0.25">
      <c r="E1251" s="20"/>
    </row>
    <row r="1252" spans="5:5" x14ac:dyDescent="0.25">
      <c r="E1252" s="20"/>
    </row>
    <row r="1253" spans="5:5" x14ac:dyDescent="0.25">
      <c r="E1253" s="20"/>
    </row>
    <row r="1254" spans="5:5" x14ac:dyDescent="0.25">
      <c r="E1254" s="20"/>
    </row>
    <row r="1255" spans="5:5" x14ac:dyDescent="0.25">
      <c r="E1255" s="20"/>
    </row>
    <row r="1256" spans="5:5" x14ac:dyDescent="0.25">
      <c r="E1256" s="20"/>
    </row>
    <row r="1257" spans="5:5" x14ac:dyDescent="0.25">
      <c r="E1257" s="20"/>
    </row>
    <row r="1258" spans="5:5" x14ac:dyDescent="0.25">
      <c r="E1258" s="20"/>
    </row>
    <row r="1259" spans="5:5" x14ac:dyDescent="0.25">
      <c r="E1259" s="20"/>
    </row>
    <row r="1260" spans="5:5" x14ac:dyDescent="0.25">
      <c r="E1260" s="20"/>
    </row>
    <row r="1261" spans="5:5" x14ac:dyDescent="0.25">
      <c r="E1261" s="20"/>
    </row>
    <row r="1262" spans="5:5" x14ac:dyDescent="0.25">
      <c r="E1262" s="20"/>
    </row>
    <row r="1263" spans="5:5" x14ac:dyDescent="0.25">
      <c r="E1263" s="20"/>
    </row>
    <row r="1264" spans="5:5" x14ac:dyDescent="0.25">
      <c r="E1264" s="20"/>
    </row>
    <row r="1265" spans="5:5" x14ac:dyDescent="0.25">
      <c r="E1265" s="20"/>
    </row>
    <row r="1266" spans="5:5" x14ac:dyDescent="0.25">
      <c r="E1266" s="20"/>
    </row>
    <row r="1267" spans="5:5" x14ac:dyDescent="0.25">
      <c r="E1267" s="20"/>
    </row>
    <row r="1268" spans="5:5" x14ac:dyDescent="0.25">
      <c r="E1268" s="20"/>
    </row>
    <row r="1269" spans="5:5" x14ac:dyDescent="0.25">
      <c r="E1269" s="20"/>
    </row>
    <row r="1270" spans="5:5" x14ac:dyDescent="0.25">
      <c r="E1270" s="20"/>
    </row>
    <row r="1271" spans="5:5" x14ac:dyDescent="0.25">
      <c r="E1271" s="20"/>
    </row>
    <row r="1272" spans="5:5" x14ac:dyDescent="0.25">
      <c r="E1272" s="20"/>
    </row>
    <row r="1273" spans="5:5" x14ac:dyDescent="0.25">
      <c r="E1273" s="20"/>
    </row>
    <row r="1274" spans="5:5" x14ac:dyDescent="0.25">
      <c r="E1274" s="20"/>
    </row>
    <row r="1275" spans="5:5" x14ac:dyDescent="0.25">
      <c r="E1275" s="20"/>
    </row>
    <row r="1276" spans="5:5" x14ac:dyDescent="0.25">
      <c r="E1276" s="20"/>
    </row>
    <row r="1277" spans="5:5" x14ac:dyDescent="0.25">
      <c r="E1277" s="20"/>
    </row>
    <row r="1278" spans="5:5" x14ac:dyDescent="0.25">
      <c r="E1278" s="20"/>
    </row>
    <row r="1279" spans="5:5" x14ac:dyDescent="0.25">
      <c r="E1279" s="20"/>
    </row>
    <row r="1280" spans="5:5" x14ac:dyDescent="0.25">
      <c r="E1280" s="20"/>
    </row>
    <row r="1281" spans="5:5" x14ac:dyDescent="0.25">
      <c r="E1281" s="20"/>
    </row>
    <row r="1282" spans="5:5" x14ac:dyDescent="0.25">
      <c r="E1282" s="20"/>
    </row>
    <row r="1283" spans="5:5" x14ac:dyDescent="0.25">
      <c r="E1283" s="20"/>
    </row>
    <row r="1284" spans="5:5" x14ac:dyDescent="0.25">
      <c r="E1284" s="20"/>
    </row>
    <row r="1285" spans="5:5" x14ac:dyDescent="0.25">
      <c r="E1285" s="20"/>
    </row>
    <row r="1286" spans="5:5" x14ac:dyDescent="0.25">
      <c r="E1286" s="20"/>
    </row>
    <row r="1287" spans="5:5" x14ac:dyDescent="0.25">
      <c r="E1287" s="20"/>
    </row>
    <row r="1288" spans="5:5" x14ac:dyDescent="0.25">
      <c r="E1288" s="20"/>
    </row>
    <row r="1289" spans="5:5" x14ac:dyDescent="0.25">
      <c r="E1289" s="20"/>
    </row>
    <row r="1290" spans="5:5" x14ac:dyDescent="0.25">
      <c r="E1290" s="20"/>
    </row>
    <row r="1291" spans="5:5" x14ac:dyDescent="0.25">
      <c r="E1291" s="20"/>
    </row>
    <row r="1292" spans="5:5" x14ac:dyDescent="0.25">
      <c r="E1292" s="20"/>
    </row>
    <row r="1293" spans="5:5" x14ac:dyDescent="0.25">
      <c r="E1293" s="20"/>
    </row>
    <row r="1294" spans="5:5" x14ac:dyDescent="0.25">
      <c r="E1294" s="20"/>
    </row>
    <row r="1295" spans="5:5" x14ac:dyDescent="0.25">
      <c r="E1295" s="20"/>
    </row>
    <row r="1296" spans="5:5" x14ac:dyDescent="0.25">
      <c r="E1296" s="20"/>
    </row>
    <row r="1297" spans="5:5" x14ac:dyDescent="0.25">
      <c r="E1297" s="20"/>
    </row>
    <row r="1298" spans="5:5" x14ac:dyDescent="0.25">
      <c r="E1298" s="20"/>
    </row>
    <row r="1299" spans="5:5" x14ac:dyDescent="0.25">
      <c r="E1299" s="20"/>
    </row>
    <row r="1300" spans="5:5" x14ac:dyDescent="0.25">
      <c r="E1300" s="20"/>
    </row>
    <row r="1301" spans="5:5" x14ac:dyDescent="0.25">
      <c r="E1301" s="20"/>
    </row>
    <row r="1302" spans="5:5" x14ac:dyDescent="0.25">
      <c r="E1302" s="20"/>
    </row>
    <row r="1303" spans="5:5" x14ac:dyDescent="0.25">
      <c r="E1303" s="20"/>
    </row>
    <row r="1304" spans="5:5" x14ac:dyDescent="0.25">
      <c r="E1304" s="20"/>
    </row>
    <row r="1305" spans="5:5" x14ac:dyDescent="0.25">
      <c r="E1305" s="20"/>
    </row>
    <row r="1306" spans="5:5" x14ac:dyDescent="0.25">
      <c r="E1306" s="20"/>
    </row>
    <row r="1307" spans="5:5" x14ac:dyDescent="0.25">
      <c r="E1307" s="20"/>
    </row>
    <row r="1308" spans="5:5" x14ac:dyDescent="0.25">
      <c r="E1308" s="20"/>
    </row>
    <row r="1309" spans="5:5" x14ac:dyDescent="0.25">
      <c r="E1309" s="20"/>
    </row>
    <row r="1310" spans="5:5" x14ac:dyDescent="0.25">
      <c r="E1310" s="20"/>
    </row>
    <row r="1311" spans="5:5" x14ac:dyDescent="0.25">
      <c r="E1311" s="20"/>
    </row>
    <row r="1312" spans="5:5" x14ac:dyDescent="0.25">
      <c r="E1312" s="20"/>
    </row>
    <row r="1313" spans="5:5" x14ac:dyDescent="0.25">
      <c r="E1313" s="20"/>
    </row>
    <row r="1314" spans="5:5" x14ac:dyDescent="0.25">
      <c r="E1314" s="20"/>
    </row>
    <row r="1315" spans="5:5" x14ac:dyDescent="0.25">
      <c r="E1315" s="20"/>
    </row>
    <row r="1316" spans="5:5" x14ac:dyDescent="0.25">
      <c r="E1316" s="20"/>
    </row>
    <row r="1317" spans="5:5" x14ac:dyDescent="0.25">
      <c r="E1317" s="20"/>
    </row>
    <row r="1318" spans="5:5" x14ac:dyDescent="0.25">
      <c r="E1318" s="20"/>
    </row>
    <row r="1319" spans="5:5" x14ac:dyDescent="0.25">
      <c r="E1319" s="20"/>
    </row>
    <row r="1320" spans="5:5" x14ac:dyDescent="0.25">
      <c r="E1320" s="20"/>
    </row>
    <row r="1321" spans="5:5" x14ac:dyDescent="0.25">
      <c r="E1321" s="20"/>
    </row>
    <row r="1322" spans="5:5" x14ac:dyDescent="0.25">
      <c r="E1322" s="20"/>
    </row>
    <row r="1323" spans="5:5" x14ac:dyDescent="0.25">
      <c r="E1323" s="20"/>
    </row>
    <row r="1324" spans="5:5" x14ac:dyDescent="0.25">
      <c r="E1324" s="20"/>
    </row>
    <row r="1325" spans="5:5" x14ac:dyDescent="0.25">
      <c r="E1325" s="20"/>
    </row>
    <row r="1326" spans="5:5" x14ac:dyDescent="0.25">
      <c r="E1326" s="20"/>
    </row>
    <row r="1327" spans="5:5" x14ac:dyDescent="0.25">
      <c r="E1327" s="20"/>
    </row>
    <row r="1328" spans="5:5" x14ac:dyDescent="0.25">
      <c r="E1328" s="20"/>
    </row>
    <row r="1329" spans="5:5" x14ac:dyDescent="0.25">
      <c r="E1329" s="20"/>
    </row>
    <row r="1330" spans="5:5" x14ac:dyDescent="0.25">
      <c r="E1330" s="20"/>
    </row>
    <row r="1331" spans="5:5" x14ac:dyDescent="0.25">
      <c r="E1331" s="20"/>
    </row>
    <row r="1332" spans="5:5" x14ac:dyDescent="0.25">
      <c r="E1332" s="20"/>
    </row>
    <row r="1333" spans="5:5" x14ac:dyDescent="0.25">
      <c r="E1333" s="20"/>
    </row>
    <row r="1334" spans="5:5" x14ac:dyDescent="0.25">
      <c r="E1334" s="20"/>
    </row>
    <row r="1335" spans="5:5" x14ac:dyDescent="0.25">
      <c r="E1335" s="20"/>
    </row>
    <row r="1336" spans="5:5" x14ac:dyDescent="0.25">
      <c r="E1336" s="20"/>
    </row>
    <row r="1337" spans="5:5" x14ac:dyDescent="0.25">
      <c r="E1337" s="20"/>
    </row>
    <row r="1338" spans="5:5" x14ac:dyDescent="0.25">
      <c r="E1338" s="20"/>
    </row>
    <row r="1339" spans="5:5" x14ac:dyDescent="0.25">
      <c r="E1339" s="20"/>
    </row>
    <row r="1340" spans="5:5" x14ac:dyDescent="0.25">
      <c r="E1340" s="20"/>
    </row>
    <row r="1341" spans="5:5" x14ac:dyDescent="0.25">
      <c r="E1341" s="20"/>
    </row>
    <row r="1342" spans="5:5" x14ac:dyDescent="0.25">
      <c r="E1342" s="20"/>
    </row>
    <row r="1343" spans="5:5" x14ac:dyDescent="0.25">
      <c r="E1343" s="20"/>
    </row>
    <row r="1344" spans="5:5" x14ac:dyDescent="0.25">
      <c r="E1344" s="20"/>
    </row>
    <row r="1345" spans="5:5" x14ac:dyDescent="0.25">
      <c r="E1345" s="20"/>
    </row>
    <row r="1346" spans="5:5" x14ac:dyDescent="0.25">
      <c r="E1346" s="20"/>
    </row>
    <row r="1347" spans="5:5" x14ac:dyDescent="0.25">
      <c r="E1347" s="20"/>
    </row>
    <row r="1348" spans="5:5" x14ac:dyDescent="0.25">
      <c r="E1348" s="20"/>
    </row>
    <row r="1349" spans="5:5" x14ac:dyDescent="0.25">
      <c r="E1349" s="20"/>
    </row>
    <row r="1350" spans="5:5" x14ac:dyDescent="0.25">
      <c r="E1350" s="20"/>
    </row>
    <row r="1351" spans="5:5" x14ac:dyDescent="0.25">
      <c r="E1351" s="20"/>
    </row>
    <row r="1352" spans="5:5" x14ac:dyDescent="0.25">
      <c r="E1352" s="20"/>
    </row>
    <row r="1353" spans="5:5" x14ac:dyDescent="0.25">
      <c r="E1353" s="20"/>
    </row>
    <row r="1354" spans="5:5" x14ac:dyDescent="0.25">
      <c r="E1354" s="20"/>
    </row>
    <row r="1355" spans="5:5" x14ac:dyDescent="0.25">
      <c r="E1355" s="20"/>
    </row>
    <row r="1356" spans="5:5" x14ac:dyDescent="0.25">
      <c r="E1356" s="20"/>
    </row>
    <row r="1357" spans="5:5" x14ac:dyDescent="0.25">
      <c r="E1357" s="20"/>
    </row>
    <row r="1358" spans="5:5" x14ac:dyDescent="0.25">
      <c r="E1358" s="20"/>
    </row>
    <row r="1359" spans="5:5" x14ac:dyDescent="0.25">
      <c r="E1359" s="20"/>
    </row>
    <row r="1360" spans="5:5" x14ac:dyDescent="0.25">
      <c r="E1360" s="20"/>
    </row>
    <row r="1361" spans="5:5" x14ac:dyDescent="0.25">
      <c r="E1361" s="20"/>
    </row>
    <row r="1362" spans="5:5" x14ac:dyDescent="0.25">
      <c r="E1362" s="20"/>
    </row>
    <row r="1363" spans="5:5" x14ac:dyDescent="0.25">
      <c r="E1363" s="20"/>
    </row>
    <row r="1364" spans="5:5" x14ac:dyDescent="0.25">
      <c r="E1364" s="20"/>
    </row>
    <row r="1365" spans="5:5" x14ac:dyDescent="0.25">
      <c r="E1365" s="20"/>
    </row>
    <row r="1366" spans="5:5" x14ac:dyDescent="0.25">
      <c r="E1366" s="20"/>
    </row>
    <row r="1367" spans="5:5" x14ac:dyDescent="0.25">
      <c r="E1367" s="20"/>
    </row>
    <row r="1368" spans="5:5" x14ac:dyDescent="0.25">
      <c r="E1368" s="20"/>
    </row>
    <row r="1369" spans="5:5" x14ac:dyDescent="0.25">
      <c r="E1369" s="20"/>
    </row>
    <row r="1370" spans="5:5" x14ac:dyDescent="0.25">
      <c r="E1370" s="20"/>
    </row>
    <row r="1371" spans="5:5" x14ac:dyDescent="0.25">
      <c r="E1371" s="20"/>
    </row>
    <row r="1372" spans="5:5" x14ac:dyDescent="0.25">
      <c r="E1372" s="20"/>
    </row>
    <row r="1373" spans="5:5" x14ac:dyDescent="0.25">
      <c r="E1373" s="20"/>
    </row>
    <row r="1374" spans="5:5" x14ac:dyDescent="0.25">
      <c r="E1374" s="20"/>
    </row>
    <row r="1375" spans="5:5" x14ac:dyDescent="0.25">
      <c r="E1375" s="20"/>
    </row>
    <row r="1376" spans="5:5" x14ac:dyDescent="0.25">
      <c r="E1376" s="20"/>
    </row>
    <row r="1377" spans="5:5" x14ac:dyDescent="0.25">
      <c r="E1377" s="20"/>
    </row>
    <row r="1378" spans="5:5" x14ac:dyDescent="0.25">
      <c r="E1378" s="20"/>
    </row>
    <row r="1379" spans="5:5" x14ac:dyDescent="0.25">
      <c r="E1379" s="20"/>
    </row>
    <row r="1380" spans="5:5" x14ac:dyDescent="0.25">
      <c r="E1380" s="20"/>
    </row>
    <row r="1381" spans="5:5" x14ac:dyDescent="0.25">
      <c r="E1381" s="20"/>
    </row>
    <row r="1382" spans="5:5" x14ac:dyDescent="0.25">
      <c r="E1382" s="20"/>
    </row>
    <row r="1383" spans="5:5" x14ac:dyDescent="0.25">
      <c r="E1383" s="20"/>
    </row>
    <row r="1384" spans="5:5" x14ac:dyDescent="0.25">
      <c r="E1384" s="20"/>
    </row>
    <row r="1385" spans="5:5" x14ac:dyDescent="0.25">
      <c r="E1385" s="20"/>
    </row>
    <row r="1386" spans="5:5" x14ac:dyDescent="0.25">
      <c r="E1386" s="20"/>
    </row>
    <row r="1387" spans="5:5" x14ac:dyDescent="0.25">
      <c r="E1387" s="20"/>
    </row>
    <row r="1388" spans="5:5" x14ac:dyDescent="0.25">
      <c r="E1388" s="20"/>
    </row>
    <row r="1389" spans="5:5" x14ac:dyDescent="0.25">
      <c r="E1389" s="20"/>
    </row>
    <row r="1390" spans="5:5" x14ac:dyDescent="0.25">
      <c r="E1390" s="20"/>
    </row>
    <row r="1391" spans="5:5" x14ac:dyDescent="0.25">
      <c r="E1391" s="20"/>
    </row>
    <row r="1392" spans="5:5" x14ac:dyDescent="0.25">
      <c r="E1392" s="20"/>
    </row>
    <row r="1393" spans="5:5" x14ac:dyDescent="0.25">
      <c r="E1393" s="20"/>
    </row>
    <row r="1394" spans="5:5" x14ac:dyDescent="0.25">
      <c r="E1394" s="20"/>
    </row>
    <row r="1395" spans="5:5" x14ac:dyDescent="0.25">
      <c r="E1395" s="20"/>
    </row>
    <row r="1396" spans="5:5" x14ac:dyDescent="0.25">
      <c r="E1396" s="20"/>
    </row>
    <row r="1397" spans="5:5" x14ac:dyDescent="0.25">
      <c r="E1397" s="20"/>
    </row>
    <row r="1398" spans="5:5" x14ac:dyDescent="0.25">
      <c r="E1398" s="20"/>
    </row>
    <row r="1399" spans="5:5" x14ac:dyDescent="0.25">
      <c r="E1399" s="20"/>
    </row>
    <row r="1400" spans="5:5" x14ac:dyDescent="0.25">
      <c r="E1400" s="20"/>
    </row>
    <row r="1401" spans="5:5" x14ac:dyDescent="0.25">
      <c r="E1401" s="20"/>
    </row>
    <row r="1402" spans="5:5" x14ac:dyDescent="0.25">
      <c r="E1402" s="20"/>
    </row>
    <row r="1403" spans="5:5" x14ac:dyDescent="0.25">
      <c r="E1403" s="20"/>
    </row>
    <row r="1404" spans="5:5" x14ac:dyDescent="0.25">
      <c r="E1404" s="20"/>
    </row>
    <row r="1405" spans="5:5" x14ac:dyDescent="0.25">
      <c r="E1405" s="20"/>
    </row>
    <row r="1406" spans="5:5" x14ac:dyDescent="0.25">
      <c r="E1406" s="20"/>
    </row>
    <row r="1407" spans="5:5" x14ac:dyDescent="0.25">
      <c r="E1407" s="20"/>
    </row>
    <row r="1408" spans="5:5" x14ac:dyDescent="0.25">
      <c r="E1408" s="20"/>
    </row>
    <row r="1409" spans="5:5" x14ac:dyDescent="0.25">
      <c r="E1409" s="20"/>
    </row>
    <row r="1410" spans="5:5" x14ac:dyDescent="0.25">
      <c r="E1410" s="20"/>
    </row>
    <row r="1411" spans="5:5" x14ac:dyDescent="0.25">
      <c r="E1411" s="20"/>
    </row>
    <row r="1412" spans="5:5" x14ac:dyDescent="0.25">
      <c r="E1412" s="20"/>
    </row>
    <row r="1413" spans="5:5" x14ac:dyDescent="0.25">
      <c r="E1413" s="20"/>
    </row>
    <row r="1414" spans="5:5" x14ac:dyDescent="0.25">
      <c r="E1414" s="20"/>
    </row>
    <row r="1415" spans="5:5" x14ac:dyDescent="0.25">
      <c r="E1415" s="20"/>
    </row>
    <row r="1416" spans="5:5" x14ac:dyDescent="0.25">
      <c r="E1416" s="20"/>
    </row>
    <row r="1417" spans="5:5" x14ac:dyDescent="0.25">
      <c r="E1417" s="20"/>
    </row>
    <row r="1418" spans="5:5" x14ac:dyDescent="0.25">
      <c r="E1418" s="20"/>
    </row>
    <row r="1419" spans="5:5" x14ac:dyDescent="0.25">
      <c r="E1419" s="20"/>
    </row>
    <row r="1420" spans="5:5" x14ac:dyDescent="0.25">
      <c r="E1420" s="20"/>
    </row>
    <row r="1421" spans="5:5" x14ac:dyDescent="0.25">
      <c r="E1421" s="20"/>
    </row>
    <row r="1422" spans="5:5" x14ac:dyDescent="0.25">
      <c r="E1422" s="20"/>
    </row>
    <row r="1423" spans="5:5" x14ac:dyDescent="0.25">
      <c r="E1423" s="20"/>
    </row>
    <row r="1424" spans="5:5" x14ac:dyDescent="0.25">
      <c r="E1424" s="20"/>
    </row>
    <row r="1425" spans="5:5" x14ac:dyDescent="0.25">
      <c r="E1425" s="20"/>
    </row>
    <row r="1426" spans="5:5" x14ac:dyDescent="0.25">
      <c r="E1426" s="20"/>
    </row>
    <row r="1427" spans="5:5" x14ac:dyDescent="0.25">
      <c r="E1427" s="20"/>
    </row>
    <row r="1428" spans="5:5" x14ac:dyDescent="0.25">
      <c r="E1428" s="20"/>
    </row>
    <row r="1429" spans="5:5" x14ac:dyDescent="0.25">
      <c r="E1429" s="20"/>
    </row>
    <row r="1430" spans="5:5" x14ac:dyDescent="0.25">
      <c r="E1430" s="20"/>
    </row>
    <row r="1431" spans="5:5" x14ac:dyDescent="0.25">
      <c r="E1431" s="20"/>
    </row>
    <row r="1432" spans="5:5" x14ac:dyDescent="0.25">
      <c r="E1432" s="20"/>
    </row>
    <row r="1433" spans="5:5" x14ac:dyDescent="0.25">
      <c r="E1433" s="20"/>
    </row>
    <row r="1434" spans="5:5" x14ac:dyDescent="0.25">
      <c r="E1434" s="20"/>
    </row>
    <row r="1435" spans="5:5" x14ac:dyDescent="0.25">
      <c r="E1435" s="20"/>
    </row>
    <row r="1436" spans="5:5" x14ac:dyDescent="0.25">
      <c r="E1436" s="20"/>
    </row>
    <row r="1437" spans="5:5" x14ac:dyDescent="0.25">
      <c r="E1437" s="20"/>
    </row>
    <row r="1438" spans="5:5" x14ac:dyDescent="0.25">
      <c r="E1438" s="20"/>
    </row>
    <row r="1439" spans="5:5" x14ac:dyDescent="0.25">
      <c r="E1439" s="20"/>
    </row>
    <row r="1440" spans="5:5" x14ac:dyDescent="0.25">
      <c r="E1440" s="20"/>
    </row>
    <row r="1441" spans="5:5" x14ac:dyDescent="0.25">
      <c r="E1441" s="20"/>
    </row>
    <row r="1442" spans="5:5" x14ac:dyDescent="0.25">
      <c r="E1442" s="20"/>
    </row>
    <row r="1443" spans="5:5" x14ac:dyDescent="0.25">
      <c r="E1443" s="20"/>
    </row>
    <row r="1444" spans="5:5" x14ac:dyDescent="0.25">
      <c r="E1444" s="20"/>
    </row>
    <row r="1445" spans="5:5" x14ac:dyDescent="0.25">
      <c r="E1445" s="20"/>
    </row>
    <row r="1446" spans="5:5" x14ac:dyDescent="0.25">
      <c r="E1446" s="20"/>
    </row>
    <row r="1447" spans="5:5" x14ac:dyDescent="0.25">
      <c r="E1447" s="20"/>
    </row>
    <row r="1448" spans="5:5" x14ac:dyDescent="0.25">
      <c r="E1448" s="20"/>
    </row>
    <row r="1449" spans="5:5" x14ac:dyDescent="0.25">
      <c r="E1449" s="20"/>
    </row>
    <row r="1450" spans="5:5" x14ac:dyDescent="0.25">
      <c r="E1450" s="20"/>
    </row>
    <row r="1451" spans="5:5" x14ac:dyDescent="0.25">
      <c r="E1451" s="20"/>
    </row>
    <row r="1452" spans="5:5" x14ac:dyDescent="0.25">
      <c r="E1452" s="20"/>
    </row>
    <row r="1453" spans="5:5" x14ac:dyDescent="0.25">
      <c r="E1453" s="20"/>
    </row>
    <row r="1454" spans="5:5" x14ac:dyDescent="0.25">
      <c r="E1454" s="20"/>
    </row>
    <row r="1455" spans="5:5" x14ac:dyDescent="0.25">
      <c r="E1455" s="20"/>
    </row>
    <row r="1456" spans="5:5" x14ac:dyDescent="0.25">
      <c r="E1456" s="20"/>
    </row>
    <row r="1457" spans="5:5" x14ac:dyDescent="0.25">
      <c r="E1457" s="20"/>
    </row>
    <row r="1458" spans="5:5" x14ac:dyDescent="0.25">
      <c r="E1458" s="20"/>
    </row>
    <row r="1459" spans="5:5" x14ac:dyDescent="0.25">
      <c r="E1459" s="20"/>
    </row>
    <row r="1460" spans="5:5" x14ac:dyDescent="0.25">
      <c r="E1460" s="20"/>
    </row>
    <row r="1461" spans="5:5" x14ac:dyDescent="0.25">
      <c r="E1461" s="20"/>
    </row>
    <row r="1462" spans="5:5" x14ac:dyDescent="0.25">
      <c r="E1462" s="20"/>
    </row>
    <row r="1463" spans="5:5" x14ac:dyDescent="0.25">
      <c r="E1463" s="20"/>
    </row>
    <row r="1464" spans="5:5" x14ac:dyDescent="0.25">
      <c r="E1464" s="20"/>
    </row>
    <row r="1465" spans="5:5" x14ac:dyDescent="0.25">
      <c r="E1465" s="20"/>
    </row>
    <row r="1466" spans="5:5" x14ac:dyDescent="0.25">
      <c r="E1466" s="20"/>
    </row>
    <row r="1467" spans="5:5" x14ac:dyDescent="0.25">
      <c r="E1467" s="20"/>
    </row>
    <row r="1468" spans="5:5" x14ac:dyDescent="0.25">
      <c r="E1468" s="20"/>
    </row>
    <row r="1469" spans="5:5" x14ac:dyDescent="0.25">
      <c r="E1469" s="20"/>
    </row>
    <row r="1470" spans="5:5" x14ac:dyDescent="0.25">
      <c r="E1470" s="20"/>
    </row>
    <row r="1471" spans="5:5" x14ac:dyDescent="0.25">
      <c r="E1471" s="20"/>
    </row>
    <row r="1472" spans="5:5" x14ac:dyDescent="0.25">
      <c r="E1472" s="20"/>
    </row>
    <row r="1473" spans="5:5" x14ac:dyDescent="0.25">
      <c r="E1473" s="20"/>
    </row>
    <row r="1474" spans="5:5" x14ac:dyDescent="0.25">
      <c r="E1474" s="20"/>
    </row>
    <row r="1475" spans="5:5" x14ac:dyDescent="0.25">
      <c r="E1475" s="20"/>
    </row>
    <row r="1476" spans="5:5" x14ac:dyDescent="0.25">
      <c r="E1476" s="20"/>
    </row>
    <row r="1477" spans="5:5" x14ac:dyDescent="0.25">
      <c r="E1477" s="20"/>
    </row>
    <row r="1478" spans="5:5" x14ac:dyDescent="0.25">
      <c r="E1478" s="20"/>
    </row>
    <row r="1479" spans="5:5" x14ac:dyDescent="0.25">
      <c r="E1479" s="20"/>
    </row>
    <row r="1480" spans="5:5" x14ac:dyDescent="0.25">
      <c r="E1480" s="20"/>
    </row>
    <row r="1481" spans="5:5" x14ac:dyDescent="0.25">
      <c r="E1481" s="20"/>
    </row>
    <row r="1482" spans="5:5" x14ac:dyDescent="0.25">
      <c r="E1482" s="20"/>
    </row>
    <row r="1483" spans="5:5" x14ac:dyDescent="0.25">
      <c r="E1483" s="20"/>
    </row>
    <row r="1484" spans="5:5" x14ac:dyDescent="0.25">
      <c r="E1484" s="20"/>
    </row>
    <row r="1485" spans="5:5" x14ac:dyDescent="0.25">
      <c r="E1485" s="20"/>
    </row>
    <row r="1486" spans="5:5" x14ac:dyDescent="0.25">
      <c r="E1486" s="20"/>
    </row>
    <row r="1487" spans="5:5" x14ac:dyDescent="0.25">
      <c r="E1487" s="20"/>
    </row>
    <row r="1488" spans="5:5" x14ac:dyDescent="0.25">
      <c r="E1488" s="20"/>
    </row>
    <row r="1489" spans="5:5" x14ac:dyDescent="0.25">
      <c r="E1489" s="20"/>
    </row>
    <row r="1490" spans="5:5" x14ac:dyDescent="0.25">
      <c r="E1490" s="20"/>
    </row>
    <row r="1491" spans="5:5" x14ac:dyDescent="0.25">
      <c r="E1491" s="20"/>
    </row>
    <row r="1492" spans="5:5" x14ac:dyDescent="0.25">
      <c r="E1492" s="20"/>
    </row>
    <row r="1493" spans="5:5" x14ac:dyDescent="0.25">
      <c r="E1493" s="20"/>
    </row>
    <row r="1494" spans="5:5" x14ac:dyDescent="0.25">
      <c r="E1494" s="20"/>
    </row>
    <row r="1495" spans="5:5" x14ac:dyDescent="0.25">
      <c r="E1495" s="20"/>
    </row>
    <row r="1496" spans="5:5" x14ac:dyDescent="0.25">
      <c r="E1496" s="20"/>
    </row>
    <row r="1497" spans="5:5" x14ac:dyDescent="0.25">
      <c r="E1497" s="20"/>
    </row>
    <row r="1498" spans="5:5" x14ac:dyDescent="0.25">
      <c r="E1498" s="20"/>
    </row>
    <row r="1499" spans="5:5" x14ac:dyDescent="0.25">
      <c r="E1499" s="20"/>
    </row>
    <row r="1500" spans="5:5" x14ac:dyDescent="0.25">
      <c r="E1500" s="20"/>
    </row>
    <row r="1501" spans="5:5" x14ac:dyDescent="0.25">
      <c r="E1501" s="20"/>
    </row>
    <row r="1502" spans="5:5" x14ac:dyDescent="0.25">
      <c r="E1502" s="20"/>
    </row>
    <row r="1503" spans="5:5" x14ac:dyDescent="0.25">
      <c r="E1503" s="20"/>
    </row>
    <row r="1504" spans="5:5" x14ac:dyDescent="0.25">
      <c r="E1504" s="20"/>
    </row>
    <row r="1505" spans="5:5" x14ac:dyDescent="0.25">
      <c r="E1505" s="20"/>
    </row>
    <row r="1506" spans="5:5" x14ac:dyDescent="0.25">
      <c r="E1506" s="20"/>
    </row>
    <row r="1507" spans="5:5" x14ac:dyDescent="0.25">
      <c r="E1507" s="20"/>
    </row>
    <row r="1508" spans="5:5" x14ac:dyDescent="0.25">
      <c r="E1508" s="20"/>
    </row>
    <row r="1509" spans="5:5" x14ac:dyDescent="0.25">
      <c r="E1509" s="20"/>
    </row>
    <row r="1510" spans="5:5" x14ac:dyDescent="0.25">
      <c r="E1510" s="20"/>
    </row>
    <row r="1511" spans="5:5" x14ac:dyDescent="0.25">
      <c r="E1511" s="20"/>
    </row>
    <row r="1512" spans="5:5" x14ac:dyDescent="0.25">
      <c r="E1512" s="20"/>
    </row>
    <row r="1513" spans="5:5" x14ac:dyDescent="0.25">
      <c r="E1513" s="20"/>
    </row>
    <row r="1514" spans="5:5" x14ac:dyDescent="0.25">
      <c r="E1514" s="20"/>
    </row>
    <row r="1515" spans="5:5" x14ac:dyDescent="0.25">
      <c r="E1515" s="20"/>
    </row>
    <row r="1516" spans="5:5" x14ac:dyDescent="0.25">
      <c r="E1516" s="20"/>
    </row>
    <row r="1517" spans="5:5" x14ac:dyDescent="0.25">
      <c r="E1517" s="20"/>
    </row>
    <row r="1518" spans="5:5" x14ac:dyDescent="0.25">
      <c r="E1518" s="20"/>
    </row>
    <row r="1519" spans="5:5" x14ac:dyDescent="0.25">
      <c r="E1519" s="20"/>
    </row>
    <row r="1520" spans="5:5" x14ac:dyDescent="0.25">
      <c r="E1520" s="20"/>
    </row>
    <row r="1521" spans="5:5" x14ac:dyDescent="0.25">
      <c r="E1521" s="20"/>
    </row>
    <row r="1522" spans="5:5" x14ac:dyDescent="0.25">
      <c r="E1522" s="20"/>
    </row>
    <row r="1523" spans="5:5" x14ac:dyDescent="0.25">
      <c r="E1523" s="20"/>
    </row>
    <row r="1524" spans="5:5" x14ac:dyDescent="0.25">
      <c r="E1524" s="20"/>
    </row>
    <row r="1525" spans="5:5" x14ac:dyDescent="0.25">
      <c r="E1525" s="20"/>
    </row>
    <row r="1526" spans="5:5" x14ac:dyDescent="0.25">
      <c r="E1526" s="20"/>
    </row>
    <row r="1527" spans="5:5" x14ac:dyDescent="0.25">
      <c r="E1527" s="20"/>
    </row>
    <row r="1528" spans="5:5" x14ac:dyDescent="0.25">
      <c r="E1528" s="20"/>
    </row>
    <row r="1529" spans="5:5" x14ac:dyDescent="0.25">
      <c r="E1529" s="20"/>
    </row>
    <row r="1530" spans="5:5" x14ac:dyDescent="0.25">
      <c r="E1530" s="20"/>
    </row>
    <row r="1531" spans="5:5" x14ac:dyDescent="0.25">
      <c r="E1531" s="20"/>
    </row>
    <row r="1532" spans="5:5" x14ac:dyDescent="0.25">
      <c r="E1532" s="20"/>
    </row>
    <row r="1533" spans="5:5" x14ac:dyDescent="0.25">
      <c r="E1533" s="20"/>
    </row>
    <row r="1534" spans="5:5" x14ac:dyDescent="0.25">
      <c r="E1534" s="20"/>
    </row>
    <row r="1535" spans="5:5" x14ac:dyDescent="0.25">
      <c r="E1535" s="20"/>
    </row>
    <row r="1536" spans="5:5" x14ac:dyDescent="0.25">
      <c r="E1536" s="20"/>
    </row>
    <row r="1537" spans="5:5" x14ac:dyDescent="0.25">
      <c r="E1537" s="20"/>
    </row>
    <row r="1538" spans="5:5" x14ac:dyDescent="0.25">
      <c r="E1538" s="20"/>
    </row>
    <row r="1539" spans="5:5" x14ac:dyDescent="0.25">
      <c r="E1539" s="20"/>
    </row>
    <row r="1540" spans="5:5" x14ac:dyDescent="0.25">
      <c r="E1540" s="20"/>
    </row>
    <row r="1541" spans="5:5" x14ac:dyDescent="0.25">
      <c r="E1541" s="20"/>
    </row>
    <row r="1542" spans="5:5" x14ac:dyDescent="0.25">
      <c r="E1542" s="20"/>
    </row>
    <row r="1543" spans="5:5" x14ac:dyDescent="0.25">
      <c r="E1543" s="20"/>
    </row>
    <row r="1544" spans="5:5" x14ac:dyDescent="0.25">
      <c r="E1544" s="20"/>
    </row>
    <row r="1545" spans="5:5" x14ac:dyDescent="0.25">
      <c r="E1545" s="20"/>
    </row>
    <row r="1546" spans="5:5" x14ac:dyDescent="0.25">
      <c r="E1546" s="20"/>
    </row>
    <row r="1547" spans="5:5" x14ac:dyDescent="0.25">
      <c r="E1547" s="20"/>
    </row>
    <row r="1548" spans="5:5" x14ac:dyDescent="0.25">
      <c r="E1548" s="20"/>
    </row>
    <row r="1549" spans="5:5" x14ac:dyDescent="0.25">
      <c r="E1549" s="20"/>
    </row>
    <row r="1550" spans="5:5" x14ac:dyDescent="0.25">
      <c r="E1550" s="20"/>
    </row>
    <row r="1551" spans="5:5" x14ac:dyDescent="0.25">
      <c r="E1551" s="20"/>
    </row>
    <row r="1552" spans="5:5" x14ac:dyDescent="0.25">
      <c r="E1552" s="20"/>
    </row>
    <row r="1553" spans="5:5" x14ac:dyDescent="0.25">
      <c r="E1553" s="20"/>
    </row>
    <row r="1554" spans="5:5" x14ac:dyDescent="0.25">
      <c r="E1554" s="20"/>
    </row>
    <row r="1555" spans="5:5" x14ac:dyDescent="0.25">
      <c r="E1555" s="20"/>
    </row>
    <row r="1556" spans="5:5" x14ac:dyDescent="0.25">
      <c r="E1556" s="20"/>
    </row>
    <row r="1557" spans="5:5" x14ac:dyDescent="0.25">
      <c r="E1557" s="20"/>
    </row>
    <row r="1558" spans="5:5" x14ac:dyDescent="0.25">
      <c r="E1558" s="20"/>
    </row>
    <row r="1559" spans="5:5" x14ac:dyDescent="0.25">
      <c r="E1559" s="20"/>
    </row>
    <row r="1560" spans="5:5" x14ac:dyDescent="0.25">
      <c r="E1560" s="20"/>
    </row>
    <row r="1561" spans="5:5" x14ac:dyDescent="0.25">
      <c r="E1561" s="20"/>
    </row>
    <row r="1562" spans="5:5" x14ac:dyDescent="0.25">
      <c r="E1562" s="20"/>
    </row>
    <row r="1563" spans="5:5" x14ac:dyDescent="0.25">
      <c r="E1563" s="20"/>
    </row>
    <row r="1564" spans="5:5" x14ac:dyDescent="0.25">
      <c r="E1564" s="20"/>
    </row>
    <row r="1565" spans="5:5" x14ac:dyDescent="0.25">
      <c r="E1565" s="20"/>
    </row>
    <row r="1566" spans="5:5" x14ac:dyDescent="0.25">
      <c r="E1566" s="20"/>
    </row>
    <row r="1567" spans="5:5" x14ac:dyDescent="0.25">
      <c r="E1567" s="20"/>
    </row>
    <row r="1568" spans="5:5" x14ac:dyDescent="0.25">
      <c r="E1568" s="20"/>
    </row>
    <row r="1569" spans="5:5" x14ac:dyDescent="0.25">
      <c r="E1569" s="20"/>
    </row>
    <row r="1570" spans="5:5" x14ac:dyDescent="0.25">
      <c r="E1570" s="20"/>
    </row>
    <row r="1571" spans="5:5" x14ac:dyDescent="0.25">
      <c r="E1571" s="20"/>
    </row>
    <row r="1572" spans="5:5" x14ac:dyDescent="0.25">
      <c r="E1572" s="20"/>
    </row>
    <row r="1573" spans="5:5" x14ac:dyDescent="0.25">
      <c r="E1573" s="20"/>
    </row>
    <row r="1574" spans="5:5" x14ac:dyDescent="0.25">
      <c r="E1574" s="20"/>
    </row>
    <row r="1575" spans="5:5" x14ac:dyDescent="0.25">
      <c r="E1575" s="20"/>
    </row>
    <row r="1576" spans="5:5" x14ac:dyDescent="0.25">
      <c r="E1576" s="20"/>
    </row>
    <row r="1577" spans="5:5" x14ac:dyDescent="0.25">
      <c r="E1577" s="20"/>
    </row>
    <row r="1578" spans="5:5" x14ac:dyDescent="0.25">
      <c r="E1578" s="20"/>
    </row>
    <row r="1579" spans="5:5" x14ac:dyDescent="0.25">
      <c r="E1579" s="20"/>
    </row>
    <row r="1580" spans="5:5" x14ac:dyDescent="0.25">
      <c r="E1580" s="20"/>
    </row>
    <row r="1581" spans="5:5" x14ac:dyDescent="0.25">
      <c r="E1581" s="20"/>
    </row>
    <row r="1582" spans="5:5" x14ac:dyDescent="0.25">
      <c r="E1582" s="20"/>
    </row>
    <row r="1583" spans="5:5" x14ac:dyDescent="0.25">
      <c r="E1583" s="20"/>
    </row>
    <row r="1584" spans="5:5" x14ac:dyDescent="0.25">
      <c r="E1584" s="20"/>
    </row>
    <row r="1585" spans="5:5" x14ac:dyDescent="0.25">
      <c r="E1585" s="20"/>
    </row>
    <row r="1586" spans="5:5" x14ac:dyDescent="0.25">
      <c r="E1586" s="20"/>
    </row>
    <row r="1587" spans="5:5" x14ac:dyDescent="0.25">
      <c r="E1587" s="20"/>
    </row>
    <row r="1588" spans="5:5" x14ac:dyDescent="0.25">
      <c r="E1588" s="20"/>
    </row>
    <row r="1589" spans="5:5" x14ac:dyDescent="0.25">
      <c r="E1589" s="20"/>
    </row>
    <row r="1590" spans="5:5" x14ac:dyDescent="0.25">
      <c r="E1590" s="20"/>
    </row>
    <row r="1591" spans="5:5" x14ac:dyDescent="0.25">
      <c r="E1591" s="20"/>
    </row>
    <row r="1592" spans="5:5" x14ac:dyDescent="0.25">
      <c r="E1592" s="20"/>
    </row>
    <row r="1593" spans="5:5" x14ac:dyDescent="0.25">
      <c r="E1593" s="20"/>
    </row>
    <row r="1594" spans="5:5" x14ac:dyDescent="0.25">
      <c r="E1594" s="20"/>
    </row>
    <row r="1595" spans="5:5" x14ac:dyDescent="0.25">
      <c r="E1595" s="20"/>
    </row>
    <row r="1596" spans="5:5" x14ac:dyDescent="0.25">
      <c r="E1596" s="20"/>
    </row>
    <row r="1597" spans="5:5" x14ac:dyDescent="0.25">
      <c r="E1597" s="20"/>
    </row>
    <row r="1598" spans="5:5" x14ac:dyDescent="0.25">
      <c r="E1598" s="20"/>
    </row>
    <row r="1599" spans="5:5" x14ac:dyDescent="0.25">
      <c r="E1599" s="20"/>
    </row>
    <row r="1600" spans="5:5" x14ac:dyDescent="0.25">
      <c r="E1600" s="20"/>
    </row>
    <row r="1601" spans="5:5" x14ac:dyDescent="0.25">
      <c r="E1601" s="20"/>
    </row>
    <row r="1602" spans="5:5" x14ac:dyDescent="0.25">
      <c r="E1602" s="20"/>
    </row>
    <row r="1603" spans="5:5" x14ac:dyDescent="0.25">
      <c r="E1603" s="20"/>
    </row>
    <row r="1604" spans="5:5" x14ac:dyDescent="0.25">
      <c r="E1604" s="20"/>
    </row>
    <row r="1605" spans="5:5" x14ac:dyDescent="0.25">
      <c r="E1605" s="20"/>
    </row>
    <row r="1606" spans="5:5" x14ac:dyDescent="0.25">
      <c r="E1606" s="20"/>
    </row>
    <row r="1607" spans="5:5" x14ac:dyDescent="0.25">
      <c r="E1607" s="20"/>
    </row>
    <row r="1608" spans="5:5" x14ac:dyDescent="0.25">
      <c r="E1608" s="20"/>
    </row>
    <row r="1609" spans="5:5" x14ac:dyDescent="0.25">
      <c r="E1609" s="20"/>
    </row>
    <row r="1610" spans="5:5" x14ac:dyDescent="0.25">
      <c r="E1610" s="20"/>
    </row>
    <row r="1611" spans="5:5" x14ac:dyDescent="0.25">
      <c r="E1611" s="20"/>
    </row>
    <row r="1612" spans="5:5" x14ac:dyDescent="0.25">
      <c r="E1612" s="20"/>
    </row>
    <row r="1613" spans="5:5" x14ac:dyDescent="0.25">
      <c r="E1613" s="20"/>
    </row>
    <row r="1614" spans="5:5" x14ac:dyDescent="0.25">
      <c r="E1614" s="20"/>
    </row>
    <row r="1615" spans="5:5" x14ac:dyDescent="0.25">
      <c r="E1615" s="20"/>
    </row>
    <row r="1616" spans="5:5" x14ac:dyDescent="0.25">
      <c r="E1616" s="20"/>
    </row>
    <row r="1617" spans="5:5" x14ac:dyDescent="0.25">
      <c r="E1617" s="20"/>
    </row>
    <row r="1618" spans="5:5" x14ac:dyDescent="0.25">
      <c r="E1618" s="20"/>
    </row>
    <row r="1619" spans="5:5" x14ac:dyDescent="0.25">
      <c r="E1619" s="20"/>
    </row>
    <row r="1620" spans="5:5" x14ac:dyDescent="0.25">
      <c r="E1620" s="20"/>
    </row>
    <row r="1621" spans="5:5" x14ac:dyDescent="0.25">
      <c r="E1621" s="20"/>
    </row>
    <row r="1622" spans="5:5" x14ac:dyDescent="0.25">
      <c r="E1622" s="20"/>
    </row>
    <row r="1623" spans="5:5" x14ac:dyDescent="0.25">
      <c r="E1623" s="20"/>
    </row>
    <row r="1624" spans="5:5" x14ac:dyDescent="0.25">
      <c r="E1624" s="20"/>
    </row>
    <row r="1625" spans="5:5" x14ac:dyDescent="0.25">
      <c r="E1625" s="20"/>
    </row>
    <row r="1626" spans="5:5" x14ac:dyDescent="0.25">
      <c r="E1626" s="20"/>
    </row>
    <row r="1627" spans="5:5" x14ac:dyDescent="0.25">
      <c r="E1627" s="20"/>
    </row>
    <row r="1628" spans="5:5" x14ac:dyDescent="0.25">
      <c r="E1628" s="20"/>
    </row>
    <row r="1629" spans="5:5" x14ac:dyDescent="0.25">
      <c r="E1629" s="20"/>
    </row>
    <row r="1630" spans="5:5" x14ac:dyDescent="0.25">
      <c r="E1630" s="20"/>
    </row>
    <row r="1631" spans="5:5" x14ac:dyDescent="0.25">
      <c r="E1631" s="20"/>
    </row>
    <row r="1632" spans="5:5" x14ac:dyDescent="0.25">
      <c r="E1632" s="20"/>
    </row>
    <row r="1633" spans="5:5" x14ac:dyDescent="0.25">
      <c r="E1633" s="20"/>
    </row>
    <row r="1634" spans="5:5" x14ac:dyDescent="0.25">
      <c r="E1634" s="20"/>
    </row>
    <row r="1635" spans="5:5" x14ac:dyDescent="0.25">
      <c r="E1635" s="20"/>
    </row>
    <row r="1636" spans="5:5" x14ac:dyDescent="0.25">
      <c r="E1636" s="20"/>
    </row>
    <row r="1637" spans="5:5" x14ac:dyDescent="0.25">
      <c r="E1637" s="20"/>
    </row>
    <row r="1638" spans="5:5" x14ac:dyDescent="0.25">
      <c r="E1638" s="20"/>
    </row>
    <row r="1639" spans="5:5" x14ac:dyDescent="0.25">
      <c r="E1639" s="20"/>
    </row>
    <row r="1640" spans="5:5" x14ac:dyDescent="0.25">
      <c r="E1640" s="20"/>
    </row>
    <row r="1641" spans="5:5" x14ac:dyDescent="0.25">
      <c r="E1641" s="20"/>
    </row>
    <row r="1642" spans="5:5" x14ac:dyDescent="0.25">
      <c r="E1642" s="20"/>
    </row>
    <row r="1643" spans="5:5" x14ac:dyDescent="0.25">
      <c r="E1643" s="20"/>
    </row>
    <row r="1644" spans="5:5" x14ac:dyDescent="0.25">
      <c r="E1644" s="20"/>
    </row>
    <row r="1645" spans="5:5" x14ac:dyDescent="0.25">
      <c r="E1645" s="20"/>
    </row>
    <row r="1646" spans="5:5" x14ac:dyDescent="0.25">
      <c r="E1646" s="20"/>
    </row>
    <row r="1647" spans="5:5" x14ac:dyDescent="0.25">
      <c r="E1647" s="20"/>
    </row>
    <row r="1648" spans="5:5" x14ac:dyDescent="0.25">
      <c r="E1648" s="20"/>
    </row>
    <row r="1649" spans="5:5" x14ac:dyDescent="0.25">
      <c r="E1649" s="20"/>
    </row>
    <row r="1650" spans="5:5" x14ac:dyDescent="0.25">
      <c r="E1650" s="20"/>
    </row>
    <row r="1651" spans="5:5" x14ac:dyDescent="0.25">
      <c r="E1651" s="20"/>
    </row>
    <row r="1652" spans="5:5" x14ac:dyDescent="0.25">
      <c r="E1652" s="20"/>
    </row>
    <row r="1653" spans="5:5" x14ac:dyDescent="0.25">
      <c r="E1653" s="20"/>
    </row>
    <row r="1654" spans="5:5" x14ac:dyDescent="0.25">
      <c r="E1654" s="20"/>
    </row>
    <row r="1655" spans="5:5" x14ac:dyDescent="0.25">
      <c r="E1655" s="20"/>
    </row>
    <row r="1656" spans="5:5" x14ac:dyDescent="0.25">
      <c r="E1656" s="20"/>
    </row>
    <row r="1657" spans="5:5" x14ac:dyDescent="0.25">
      <c r="E1657" s="20"/>
    </row>
    <row r="1658" spans="5:5" x14ac:dyDescent="0.25">
      <c r="E1658" s="20"/>
    </row>
    <row r="1659" spans="5:5" x14ac:dyDescent="0.25">
      <c r="E1659" s="20"/>
    </row>
    <row r="1660" spans="5:5" x14ac:dyDescent="0.25">
      <c r="E1660" s="20"/>
    </row>
    <row r="1661" spans="5:5" x14ac:dyDescent="0.25">
      <c r="E1661" s="20"/>
    </row>
    <row r="1662" spans="5:5" x14ac:dyDescent="0.25">
      <c r="E1662" s="20"/>
    </row>
    <row r="1663" spans="5:5" x14ac:dyDescent="0.25">
      <c r="E1663" s="20"/>
    </row>
    <row r="1664" spans="5:5" x14ac:dyDescent="0.25">
      <c r="E1664" s="20"/>
    </row>
    <row r="1665" spans="5:5" x14ac:dyDescent="0.25">
      <c r="E1665" s="20"/>
    </row>
    <row r="1666" spans="5:5" x14ac:dyDescent="0.25">
      <c r="E1666" s="20"/>
    </row>
    <row r="1667" spans="5:5" x14ac:dyDescent="0.25">
      <c r="E1667" s="20"/>
    </row>
    <row r="1668" spans="5:5" x14ac:dyDescent="0.25">
      <c r="E1668" s="20"/>
    </row>
    <row r="1669" spans="5:5" x14ac:dyDescent="0.25">
      <c r="E1669" s="20"/>
    </row>
    <row r="1670" spans="5:5" x14ac:dyDescent="0.25">
      <c r="E1670" s="20"/>
    </row>
    <row r="1671" spans="5:5" x14ac:dyDescent="0.25">
      <c r="E1671" s="20"/>
    </row>
    <row r="1672" spans="5:5" x14ac:dyDescent="0.25">
      <c r="E1672" s="20"/>
    </row>
    <row r="1673" spans="5:5" x14ac:dyDescent="0.25">
      <c r="E1673" s="20"/>
    </row>
    <row r="1674" spans="5:5" x14ac:dyDescent="0.25">
      <c r="E1674" s="20"/>
    </row>
    <row r="1675" spans="5:5" x14ac:dyDescent="0.25">
      <c r="E1675" s="20"/>
    </row>
    <row r="1676" spans="5:5" x14ac:dyDescent="0.25">
      <c r="E1676" s="20"/>
    </row>
    <row r="1677" spans="5:5" x14ac:dyDescent="0.25">
      <c r="E1677" s="20"/>
    </row>
    <row r="1678" spans="5:5" x14ac:dyDescent="0.25">
      <c r="E1678" s="20"/>
    </row>
    <row r="1679" spans="5:5" x14ac:dyDescent="0.25">
      <c r="E1679" s="20"/>
    </row>
    <row r="1680" spans="5:5" x14ac:dyDescent="0.25">
      <c r="E1680" s="20"/>
    </row>
    <row r="1681" spans="5:5" x14ac:dyDescent="0.25">
      <c r="E1681" s="20"/>
    </row>
    <row r="1682" spans="5:5" x14ac:dyDescent="0.25">
      <c r="E1682" s="20"/>
    </row>
    <row r="1683" spans="5:5" x14ac:dyDescent="0.25">
      <c r="E1683" s="20"/>
    </row>
    <row r="1684" spans="5:5" x14ac:dyDescent="0.25">
      <c r="E1684" s="20"/>
    </row>
    <row r="1685" spans="5:5" x14ac:dyDescent="0.25">
      <c r="E1685" s="20"/>
    </row>
    <row r="1686" spans="5:5" x14ac:dyDescent="0.25">
      <c r="E1686" s="20"/>
    </row>
    <row r="1687" spans="5:5" x14ac:dyDescent="0.25">
      <c r="E1687" s="20"/>
    </row>
    <row r="1688" spans="5:5" x14ac:dyDescent="0.25">
      <c r="E1688" s="20"/>
    </row>
    <row r="1689" spans="5:5" x14ac:dyDescent="0.25">
      <c r="E1689" s="20"/>
    </row>
    <row r="1690" spans="5:5" x14ac:dyDescent="0.25">
      <c r="E1690" s="20"/>
    </row>
    <row r="1691" spans="5:5" x14ac:dyDescent="0.25">
      <c r="E1691" s="20"/>
    </row>
    <row r="1692" spans="5:5" x14ac:dyDescent="0.25">
      <c r="E1692" s="20"/>
    </row>
    <row r="1693" spans="5:5" x14ac:dyDescent="0.25">
      <c r="E1693" s="20"/>
    </row>
    <row r="1694" spans="5:5" x14ac:dyDescent="0.25">
      <c r="E1694" s="20"/>
    </row>
    <row r="1695" spans="5:5" x14ac:dyDescent="0.25">
      <c r="E1695" s="20"/>
    </row>
    <row r="1696" spans="5:5" x14ac:dyDescent="0.25">
      <c r="E1696" s="20"/>
    </row>
    <row r="1697" spans="5:5" x14ac:dyDescent="0.25">
      <c r="E1697" s="20"/>
    </row>
    <row r="1698" spans="5:5" x14ac:dyDescent="0.25">
      <c r="E1698" s="20"/>
    </row>
    <row r="1699" spans="5:5" x14ac:dyDescent="0.25">
      <c r="E1699" s="20"/>
    </row>
    <row r="1700" spans="5:5" x14ac:dyDescent="0.25">
      <c r="E1700" s="20"/>
    </row>
    <row r="1701" spans="5:5" x14ac:dyDescent="0.25">
      <c r="E1701" s="20"/>
    </row>
    <row r="1702" spans="5:5" x14ac:dyDescent="0.25">
      <c r="E1702" s="20"/>
    </row>
    <row r="1703" spans="5:5" x14ac:dyDescent="0.25">
      <c r="E1703" s="20"/>
    </row>
    <row r="1704" spans="5:5" x14ac:dyDescent="0.25">
      <c r="E1704" s="20"/>
    </row>
    <row r="1705" spans="5:5" x14ac:dyDescent="0.25">
      <c r="E1705" s="20"/>
    </row>
    <row r="1706" spans="5:5" x14ac:dyDescent="0.25">
      <c r="E1706" s="20"/>
    </row>
    <row r="1707" spans="5:5" x14ac:dyDescent="0.25">
      <c r="E1707" s="20"/>
    </row>
    <row r="1708" spans="5:5" x14ac:dyDescent="0.25">
      <c r="E1708" s="20"/>
    </row>
    <row r="1709" spans="5:5" x14ac:dyDescent="0.25">
      <c r="E1709" s="20"/>
    </row>
    <row r="1710" spans="5:5" x14ac:dyDescent="0.25">
      <c r="E1710" s="20"/>
    </row>
    <row r="1711" spans="5:5" x14ac:dyDescent="0.25">
      <c r="E1711" s="20"/>
    </row>
    <row r="1712" spans="5:5" x14ac:dyDescent="0.25">
      <c r="E1712" s="20"/>
    </row>
    <row r="1713" spans="5:5" x14ac:dyDescent="0.25">
      <c r="E1713" s="20"/>
    </row>
    <row r="1714" spans="5:5" x14ac:dyDescent="0.25">
      <c r="E1714" s="20"/>
    </row>
    <row r="1715" spans="5:5" x14ac:dyDescent="0.25">
      <c r="E1715" s="20"/>
    </row>
    <row r="1716" spans="5:5" x14ac:dyDescent="0.25">
      <c r="E1716" s="20"/>
    </row>
    <row r="1717" spans="5:5" x14ac:dyDescent="0.25">
      <c r="E1717" s="20"/>
    </row>
    <row r="1718" spans="5:5" x14ac:dyDescent="0.25">
      <c r="E1718" s="20"/>
    </row>
    <row r="1719" spans="5:5" x14ac:dyDescent="0.25">
      <c r="E1719" s="20"/>
    </row>
    <row r="1720" spans="5:5" x14ac:dyDescent="0.25">
      <c r="E1720" s="20"/>
    </row>
    <row r="1721" spans="5:5" x14ac:dyDescent="0.25">
      <c r="E1721" s="20"/>
    </row>
    <row r="1722" spans="5:5" x14ac:dyDescent="0.25">
      <c r="E1722" s="20"/>
    </row>
    <row r="1723" spans="5:5" x14ac:dyDescent="0.25">
      <c r="E1723" s="20"/>
    </row>
    <row r="1724" spans="5:5" x14ac:dyDescent="0.25">
      <c r="E1724" s="20"/>
    </row>
    <row r="1725" spans="5:5" x14ac:dyDescent="0.25">
      <c r="E1725" s="20"/>
    </row>
    <row r="1726" spans="5:5" x14ac:dyDescent="0.25">
      <c r="E1726" s="20"/>
    </row>
    <row r="1727" spans="5:5" x14ac:dyDescent="0.25">
      <c r="E1727" s="20"/>
    </row>
    <row r="1728" spans="5:5" x14ac:dyDescent="0.25">
      <c r="E1728" s="20"/>
    </row>
    <row r="1729" spans="5:5" x14ac:dyDescent="0.25">
      <c r="E1729" s="20"/>
    </row>
    <row r="1730" spans="5:5" x14ac:dyDescent="0.25">
      <c r="E1730" s="20"/>
    </row>
    <row r="1731" spans="5:5" x14ac:dyDescent="0.25">
      <c r="E1731" s="20"/>
    </row>
    <row r="1732" spans="5:5" x14ac:dyDescent="0.25">
      <c r="E1732" s="20"/>
    </row>
    <row r="1733" spans="5:5" x14ac:dyDescent="0.25">
      <c r="E1733" s="20"/>
    </row>
    <row r="1734" spans="5:5" x14ac:dyDescent="0.25">
      <c r="E1734" s="20"/>
    </row>
    <row r="1735" spans="5:5" x14ac:dyDescent="0.25">
      <c r="E1735" s="20"/>
    </row>
    <row r="1736" spans="5:5" x14ac:dyDescent="0.25">
      <c r="E1736" s="20"/>
    </row>
    <row r="1737" spans="5:5" x14ac:dyDescent="0.25">
      <c r="E1737" s="20"/>
    </row>
    <row r="1738" spans="5:5" x14ac:dyDescent="0.25">
      <c r="E1738" s="20"/>
    </row>
    <row r="1739" spans="5:5" x14ac:dyDescent="0.25">
      <c r="E1739" s="20"/>
    </row>
    <row r="1740" spans="5:5" x14ac:dyDescent="0.25">
      <c r="E1740" s="20"/>
    </row>
    <row r="1741" spans="5:5" x14ac:dyDescent="0.25">
      <c r="E1741" s="20"/>
    </row>
    <row r="1742" spans="5:5" x14ac:dyDescent="0.25">
      <c r="E1742" s="20"/>
    </row>
    <row r="1743" spans="5:5" x14ac:dyDescent="0.25">
      <c r="E1743" s="20"/>
    </row>
    <row r="1744" spans="5:5" x14ac:dyDescent="0.25">
      <c r="E1744" s="20"/>
    </row>
    <row r="1745" spans="5:5" x14ac:dyDescent="0.25">
      <c r="E1745" s="20"/>
    </row>
    <row r="1746" spans="5:5" x14ac:dyDescent="0.25">
      <c r="E1746" s="20"/>
    </row>
    <row r="1747" spans="5:5" x14ac:dyDescent="0.25">
      <c r="E1747" s="20"/>
    </row>
    <row r="1748" spans="5:5" x14ac:dyDescent="0.25">
      <c r="E1748" s="20"/>
    </row>
    <row r="1749" spans="5:5" x14ac:dyDescent="0.25">
      <c r="E1749" s="20"/>
    </row>
    <row r="1750" spans="5:5" x14ac:dyDescent="0.25">
      <c r="E1750" s="20"/>
    </row>
    <row r="1751" spans="5:5" x14ac:dyDescent="0.25">
      <c r="E1751" s="20"/>
    </row>
    <row r="1752" spans="5:5" x14ac:dyDescent="0.25">
      <c r="E1752" s="20"/>
    </row>
    <row r="1753" spans="5:5" x14ac:dyDescent="0.25">
      <c r="E1753" s="20"/>
    </row>
    <row r="1754" spans="5:5" x14ac:dyDescent="0.25">
      <c r="E1754" s="20"/>
    </row>
    <row r="1755" spans="5:5" x14ac:dyDescent="0.25">
      <c r="E1755" s="20"/>
    </row>
    <row r="1756" spans="5:5" x14ac:dyDescent="0.25">
      <c r="E1756" s="20"/>
    </row>
    <row r="1757" spans="5:5" x14ac:dyDescent="0.25">
      <c r="E1757" s="20"/>
    </row>
    <row r="1758" spans="5:5" x14ac:dyDescent="0.25">
      <c r="E1758" s="20"/>
    </row>
    <row r="1759" spans="5:5" x14ac:dyDescent="0.25">
      <c r="E1759" s="20"/>
    </row>
    <row r="1760" spans="5:5" x14ac:dyDescent="0.25">
      <c r="E1760" s="20"/>
    </row>
    <row r="1761" spans="5:5" x14ac:dyDescent="0.25">
      <c r="E1761" s="20"/>
    </row>
    <row r="1762" spans="5:5" x14ac:dyDescent="0.25">
      <c r="E1762" s="20"/>
    </row>
    <row r="1763" spans="5:5" x14ac:dyDescent="0.25">
      <c r="E1763" s="20"/>
    </row>
    <row r="1764" spans="5:5" x14ac:dyDescent="0.25">
      <c r="E1764" s="20"/>
    </row>
    <row r="1765" spans="5:5" x14ac:dyDescent="0.25">
      <c r="E1765" s="20"/>
    </row>
    <row r="1766" spans="5:5" x14ac:dyDescent="0.25">
      <c r="E1766" s="20"/>
    </row>
    <row r="1767" spans="5:5" x14ac:dyDescent="0.25">
      <c r="E1767" s="20"/>
    </row>
    <row r="1768" spans="5:5" x14ac:dyDescent="0.25">
      <c r="E1768" s="20"/>
    </row>
    <row r="1769" spans="5:5" x14ac:dyDescent="0.25">
      <c r="E1769" s="20"/>
    </row>
    <row r="1770" spans="5:5" x14ac:dyDescent="0.25">
      <c r="E1770" s="20"/>
    </row>
    <row r="1771" spans="5:5" x14ac:dyDescent="0.25">
      <c r="E1771" s="20"/>
    </row>
    <row r="1772" spans="5:5" x14ac:dyDescent="0.25">
      <c r="E1772" s="20"/>
    </row>
    <row r="1773" spans="5:5" x14ac:dyDescent="0.25">
      <c r="E1773" s="20"/>
    </row>
    <row r="1774" spans="5:5" x14ac:dyDescent="0.25">
      <c r="E1774" s="20"/>
    </row>
    <row r="1775" spans="5:5" x14ac:dyDescent="0.25">
      <c r="E1775" s="20"/>
    </row>
    <row r="1776" spans="5:5" x14ac:dyDescent="0.25">
      <c r="E1776" s="20"/>
    </row>
    <row r="1777" spans="5:5" x14ac:dyDescent="0.25">
      <c r="E1777" s="20"/>
    </row>
    <row r="1778" spans="5:5" x14ac:dyDescent="0.25">
      <c r="E1778" s="20"/>
    </row>
    <row r="1779" spans="5:5" x14ac:dyDescent="0.25">
      <c r="E1779" s="20"/>
    </row>
    <row r="1780" spans="5:5" x14ac:dyDescent="0.25">
      <c r="E1780" s="20"/>
    </row>
    <row r="1781" spans="5:5" x14ac:dyDescent="0.25">
      <c r="E1781" s="20"/>
    </row>
    <row r="1782" spans="5:5" x14ac:dyDescent="0.25">
      <c r="E1782" s="20"/>
    </row>
    <row r="1783" spans="5:5" x14ac:dyDescent="0.25">
      <c r="E1783" s="20"/>
    </row>
    <row r="1784" spans="5:5" x14ac:dyDescent="0.25">
      <c r="E1784" s="20"/>
    </row>
    <row r="1785" spans="5:5" x14ac:dyDescent="0.25">
      <c r="E1785" s="20"/>
    </row>
    <row r="1786" spans="5:5" x14ac:dyDescent="0.25">
      <c r="E1786" s="20"/>
    </row>
    <row r="1787" spans="5:5" x14ac:dyDescent="0.25">
      <c r="E1787" s="20"/>
    </row>
    <row r="1788" spans="5:5" x14ac:dyDescent="0.25">
      <c r="E1788" s="20"/>
    </row>
    <row r="1789" spans="5:5" x14ac:dyDescent="0.25">
      <c r="E1789" s="20"/>
    </row>
    <row r="1790" spans="5:5" x14ac:dyDescent="0.25">
      <c r="E1790" s="20"/>
    </row>
    <row r="1791" spans="5:5" x14ac:dyDescent="0.25">
      <c r="E1791" s="20"/>
    </row>
    <row r="1792" spans="5:5" x14ac:dyDescent="0.25">
      <c r="E1792" s="20"/>
    </row>
    <row r="1793" spans="5:5" x14ac:dyDescent="0.25">
      <c r="E1793" s="20"/>
    </row>
    <row r="1794" spans="5:5" x14ac:dyDescent="0.25">
      <c r="E1794" s="20"/>
    </row>
    <row r="1795" spans="5:5" x14ac:dyDescent="0.25">
      <c r="E1795" s="20"/>
    </row>
    <row r="1796" spans="5:5" x14ac:dyDescent="0.25">
      <c r="E1796" s="20"/>
    </row>
    <row r="1797" spans="5:5" x14ac:dyDescent="0.25">
      <c r="E1797" s="20"/>
    </row>
    <row r="1798" spans="5:5" x14ac:dyDescent="0.25">
      <c r="E1798" s="20"/>
    </row>
    <row r="1799" spans="5:5" x14ac:dyDescent="0.25">
      <c r="E1799" s="20"/>
    </row>
    <row r="1800" spans="5:5" x14ac:dyDescent="0.25">
      <c r="E1800" s="20"/>
    </row>
    <row r="1801" spans="5:5" x14ac:dyDescent="0.25">
      <c r="E1801" s="20"/>
    </row>
    <row r="1802" spans="5:5" x14ac:dyDescent="0.25">
      <c r="E1802" s="20"/>
    </row>
    <row r="1803" spans="5:5" x14ac:dyDescent="0.25">
      <c r="E1803" s="20"/>
    </row>
    <row r="1804" spans="5:5" x14ac:dyDescent="0.25">
      <c r="E1804" s="20"/>
    </row>
    <row r="1805" spans="5:5" x14ac:dyDescent="0.25">
      <c r="E1805" s="20"/>
    </row>
    <row r="1806" spans="5:5" x14ac:dyDescent="0.25">
      <c r="E1806" s="20"/>
    </row>
    <row r="1807" spans="5:5" x14ac:dyDescent="0.25">
      <c r="E1807" s="20"/>
    </row>
    <row r="1808" spans="5:5" x14ac:dyDescent="0.25">
      <c r="E1808" s="20"/>
    </row>
    <row r="1809" spans="5:5" x14ac:dyDescent="0.25">
      <c r="E1809" s="20"/>
    </row>
    <row r="1810" spans="5:5" x14ac:dyDescent="0.25">
      <c r="E1810" s="20"/>
    </row>
    <row r="1811" spans="5:5" x14ac:dyDescent="0.25">
      <c r="E1811" s="20"/>
    </row>
    <row r="1812" spans="5:5" x14ac:dyDescent="0.25">
      <c r="E1812" s="20"/>
    </row>
    <row r="1813" spans="5:5" x14ac:dyDescent="0.25">
      <c r="E1813" s="20"/>
    </row>
    <row r="1814" spans="5:5" x14ac:dyDescent="0.25">
      <c r="E1814" s="20"/>
    </row>
    <row r="1815" spans="5:5" x14ac:dyDescent="0.25">
      <c r="E1815" s="20"/>
    </row>
    <row r="1816" spans="5:5" x14ac:dyDescent="0.25">
      <c r="E1816" s="20"/>
    </row>
    <row r="1817" spans="5:5" x14ac:dyDescent="0.25">
      <c r="E1817" s="20"/>
    </row>
    <row r="1818" spans="5:5" x14ac:dyDescent="0.25">
      <c r="E1818" s="20"/>
    </row>
    <row r="1819" spans="5:5" x14ac:dyDescent="0.25">
      <c r="E1819" s="20"/>
    </row>
    <row r="1820" spans="5:5" x14ac:dyDescent="0.25">
      <c r="E1820" s="20"/>
    </row>
    <row r="1821" spans="5:5" x14ac:dyDescent="0.25">
      <c r="E1821" s="20"/>
    </row>
    <row r="1822" spans="5:5" x14ac:dyDescent="0.25">
      <c r="E1822" s="20"/>
    </row>
    <row r="1823" spans="5:5" x14ac:dyDescent="0.25">
      <c r="E1823" s="20"/>
    </row>
    <row r="1824" spans="5:5" x14ac:dyDescent="0.25">
      <c r="E1824" s="20"/>
    </row>
    <row r="1825" spans="5:5" x14ac:dyDescent="0.25">
      <c r="E1825" s="20"/>
    </row>
    <row r="1826" spans="5:5" x14ac:dyDescent="0.25">
      <c r="E1826" s="20"/>
    </row>
    <row r="1827" spans="5:5" x14ac:dyDescent="0.25">
      <c r="E1827" s="20"/>
    </row>
    <row r="1828" spans="5:5" x14ac:dyDescent="0.25">
      <c r="E1828" s="20"/>
    </row>
    <row r="1829" spans="5:5" x14ac:dyDescent="0.25">
      <c r="E1829" s="20"/>
    </row>
    <row r="1830" spans="5:5" x14ac:dyDescent="0.25">
      <c r="E1830" s="20"/>
    </row>
    <row r="1831" spans="5:5" x14ac:dyDescent="0.25">
      <c r="E1831" s="20"/>
    </row>
    <row r="1832" spans="5:5" x14ac:dyDescent="0.25">
      <c r="E1832" s="20"/>
    </row>
    <row r="1833" spans="5:5" x14ac:dyDescent="0.25">
      <c r="E1833" s="20"/>
    </row>
    <row r="1834" spans="5:5" x14ac:dyDescent="0.25">
      <c r="E1834" s="20"/>
    </row>
    <row r="1835" spans="5:5" x14ac:dyDescent="0.25">
      <c r="E1835" s="20"/>
    </row>
    <row r="1836" spans="5:5" x14ac:dyDescent="0.25">
      <c r="E1836" s="20"/>
    </row>
    <row r="1837" spans="5:5" x14ac:dyDescent="0.25">
      <c r="E1837" s="20"/>
    </row>
    <row r="1838" spans="5:5" x14ac:dyDescent="0.25">
      <c r="E1838" s="20"/>
    </row>
    <row r="1839" spans="5:5" x14ac:dyDescent="0.25">
      <c r="E1839" s="20"/>
    </row>
    <row r="1840" spans="5:5" x14ac:dyDescent="0.25">
      <c r="E1840" s="20"/>
    </row>
    <row r="1841" spans="5:5" x14ac:dyDescent="0.25">
      <c r="E1841" s="20"/>
    </row>
    <row r="1842" spans="5:5" x14ac:dyDescent="0.25">
      <c r="E1842" s="20"/>
    </row>
    <row r="1843" spans="5:5" x14ac:dyDescent="0.25">
      <c r="E1843" s="20"/>
    </row>
    <row r="1844" spans="5:5" x14ac:dyDescent="0.25">
      <c r="E1844" s="20"/>
    </row>
    <row r="1845" spans="5:5" x14ac:dyDescent="0.25">
      <c r="E1845" s="20"/>
    </row>
    <row r="1846" spans="5:5" x14ac:dyDescent="0.25">
      <c r="E1846" s="20"/>
    </row>
    <row r="1847" spans="5:5" x14ac:dyDescent="0.25">
      <c r="E1847" s="20"/>
    </row>
    <row r="1848" spans="5:5" x14ac:dyDescent="0.25">
      <c r="E1848" s="20"/>
    </row>
    <row r="1849" spans="5:5" x14ac:dyDescent="0.25">
      <c r="E1849" s="20"/>
    </row>
    <row r="1850" spans="5:5" x14ac:dyDescent="0.25">
      <c r="E1850" s="20"/>
    </row>
    <row r="1851" spans="5:5" x14ac:dyDescent="0.25">
      <c r="E1851" s="20"/>
    </row>
    <row r="1852" spans="5:5" x14ac:dyDescent="0.25">
      <c r="E1852" s="20"/>
    </row>
    <row r="1853" spans="5:5" x14ac:dyDescent="0.25">
      <c r="E1853" s="20"/>
    </row>
    <row r="1854" spans="5:5" x14ac:dyDescent="0.25">
      <c r="E1854" s="20"/>
    </row>
    <row r="1855" spans="5:5" x14ac:dyDescent="0.25">
      <c r="E1855" s="20"/>
    </row>
    <row r="1856" spans="5:5" x14ac:dyDescent="0.25">
      <c r="E1856" s="20"/>
    </row>
    <row r="1857" spans="5:5" x14ac:dyDescent="0.25">
      <c r="E1857" s="20"/>
    </row>
    <row r="1858" spans="5:5" x14ac:dyDescent="0.25">
      <c r="E1858" s="20"/>
    </row>
    <row r="1859" spans="5:5" x14ac:dyDescent="0.25">
      <c r="E1859" s="20"/>
    </row>
    <row r="1860" spans="5:5" x14ac:dyDescent="0.25">
      <c r="E1860" s="20"/>
    </row>
    <row r="1861" spans="5:5" x14ac:dyDescent="0.25">
      <c r="E1861" s="20"/>
    </row>
    <row r="1862" spans="5:5" x14ac:dyDescent="0.25">
      <c r="E1862" s="20"/>
    </row>
    <row r="1863" spans="5:5" x14ac:dyDescent="0.25">
      <c r="E1863" s="20"/>
    </row>
    <row r="1864" spans="5:5" x14ac:dyDescent="0.25">
      <c r="E1864" s="20"/>
    </row>
    <row r="1865" spans="5:5" x14ac:dyDescent="0.25">
      <c r="E1865" s="20"/>
    </row>
    <row r="1866" spans="5:5" x14ac:dyDescent="0.25">
      <c r="E1866" s="20"/>
    </row>
    <row r="1867" spans="5:5" x14ac:dyDescent="0.25">
      <c r="E1867" s="20"/>
    </row>
    <row r="1868" spans="5:5" x14ac:dyDescent="0.25">
      <c r="E1868" s="20"/>
    </row>
    <row r="1869" spans="5:5" x14ac:dyDescent="0.25">
      <c r="E1869" s="20"/>
    </row>
    <row r="1870" spans="5:5" x14ac:dyDescent="0.25">
      <c r="E1870" s="20"/>
    </row>
    <row r="1871" spans="5:5" x14ac:dyDescent="0.25">
      <c r="E1871" s="20"/>
    </row>
    <row r="1872" spans="5:5" x14ac:dyDescent="0.25">
      <c r="E1872" s="20"/>
    </row>
    <row r="1873" spans="5:5" x14ac:dyDescent="0.25">
      <c r="E1873" s="20"/>
    </row>
    <row r="1874" spans="5:5" x14ac:dyDescent="0.25">
      <c r="E1874" s="20"/>
    </row>
    <row r="1875" spans="5:5" x14ac:dyDescent="0.25">
      <c r="E1875" s="20"/>
    </row>
    <row r="1876" spans="5:5" x14ac:dyDescent="0.25">
      <c r="E1876" s="20"/>
    </row>
    <row r="1877" spans="5:5" x14ac:dyDescent="0.25">
      <c r="E1877" s="20"/>
    </row>
    <row r="1878" spans="5:5" x14ac:dyDescent="0.25">
      <c r="E1878" s="20"/>
    </row>
    <row r="1879" spans="5:5" x14ac:dyDescent="0.25">
      <c r="E1879" s="20"/>
    </row>
    <row r="1880" spans="5:5" x14ac:dyDescent="0.25">
      <c r="E1880" s="20"/>
    </row>
    <row r="1881" spans="5:5" x14ac:dyDescent="0.25">
      <c r="E1881" s="20"/>
    </row>
    <row r="1882" spans="5:5" x14ac:dyDescent="0.25">
      <c r="E1882" s="20"/>
    </row>
    <row r="1883" spans="5:5" x14ac:dyDescent="0.25">
      <c r="E1883" s="20"/>
    </row>
    <row r="1884" spans="5:5" x14ac:dyDescent="0.25">
      <c r="E1884" s="20"/>
    </row>
    <row r="1885" spans="5:5" x14ac:dyDescent="0.25">
      <c r="E1885" s="20"/>
    </row>
    <row r="1886" spans="5:5" x14ac:dyDescent="0.25">
      <c r="E1886" s="20"/>
    </row>
    <row r="1887" spans="5:5" x14ac:dyDescent="0.25">
      <c r="E1887" s="20"/>
    </row>
    <row r="1888" spans="5:5" x14ac:dyDescent="0.25">
      <c r="E1888" s="20"/>
    </row>
    <row r="1889" spans="5:5" x14ac:dyDescent="0.25">
      <c r="E1889" s="20"/>
    </row>
    <row r="1890" spans="5:5" x14ac:dyDescent="0.25">
      <c r="E1890" s="20"/>
    </row>
    <row r="1891" spans="5:5" x14ac:dyDescent="0.25">
      <c r="E1891" s="20"/>
    </row>
    <row r="1892" spans="5:5" x14ac:dyDescent="0.25">
      <c r="E1892" s="20"/>
    </row>
    <row r="1893" spans="5:5" x14ac:dyDescent="0.25">
      <c r="E1893" s="20"/>
    </row>
    <row r="1894" spans="5:5" x14ac:dyDescent="0.25">
      <c r="E1894" s="20"/>
    </row>
    <row r="1895" spans="5:5" x14ac:dyDescent="0.25">
      <c r="E1895" s="20"/>
    </row>
    <row r="1896" spans="5:5" x14ac:dyDescent="0.25">
      <c r="E1896" s="20"/>
    </row>
    <row r="1897" spans="5:5" x14ac:dyDescent="0.25">
      <c r="E1897" s="20"/>
    </row>
    <row r="1898" spans="5:5" x14ac:dyDescent="0.25">
      <c r="E1898" s="20"/>
    </row>
    <row r="1899" spans="5:5" x14ac:dyDescent="0.25">
      <c r="E1899" s="20"/>
    </row>
    <row r="1900" spans="5:5" x14ac:dyDescent="0.25">
      <c r="E1900" s="20"/>
    </row>
    <row r="1901" spans="5:5" x14ac:dyDescent="0.25">
      <c r="E1901" s="20"/>
    </row>
    <row r="1902" spans="5:5" x14ac:dyDescent="0.25">
      <c r="E1902" s="20"/>
    </row>
    <row r="1903" spans="5:5" x14ac:dyDescent="0.25">
      <c r="E1903" s="20"/>
    </row>
    <row r="1904" spans="5:5" x14ac:dyDescent="0.25">
      <c r="E1904" s="20"/>
    </row>
    <row r="1905" spans="5:5" x14ac:dyDescent="0.25">
      <c r="E1905" s="20"/>
    </row>
    <row r="1906" spans="5:5" x14ac:dyDescent="0.25">
      <c r="E1906" s="20"/>
    </row>
    <row r="1907" spans="5:5" x14ac:dyDescent="0.25">
      <c r="E1907" s="20"/>
    </row>
    <row r="1908" spans="5:5" x14ac:dyDescent="0.25">
      <c r="E1908" s="20"/>
    </row>
    <row r="1909" spans="5:5" x14ac:dyDescent="0.25">
      <c r="E1909" s="20"/>
    </row>
    <row r="1910" spans="5:5" x14ac:dyDescent="0.25">
      <c r="E1910" s="20"/>
    </row>
    <row r="1911" spans="5:5" x14ac:dyDescent="0.25">
      <c r="E1911" s="20"/>
    </row>
    <row r="1912" spans="5:5" x14ac:dyDescent="0.25">
      <c r="E1912" s="20"/>
    </row>
    <row r="1913" spans="5:5" x14ac:dyDescent="0.25">
      <c r="E1913" s="20"/>
    </row>
    <row r="1914" spans="5:5" x14ac:dyDescent="0.25">
      <c r="E1914" s="20"/>
    </row>
    <row r="1915" spans="5:5" x14ac:dyDescent="0.25">
      <c r="E1915" s="20"/>
    </row>
    <row r="1916" spans="5:5" x14ac:dyDescent="0.25">
      <c r="E1916" s="20"/>
    </row>
    <row r="1917" spans="5:5" x14ac:dyDescent="0.25">
      <c r="E1917" s="20"/>
    </row>
    <row r="1918" spans="5:5" x14ac:dyDescent="0.25">
      <c r="E1918" s="20"/>
    </row>
    <row r="1919" spans="5:5" x14ac:dyDescent="0.25">
      <c r="E1919" s="20"/>
    </row>
    <row r="1920" spans="5:5" x14ac:dyDescent="0.25">
      <c r="E1920" s="20"/>
    </row>
    <row r="1921" spans="5:5" x14ac:dyDescent="0.25">
      <c r="E1921" s="20"/>
    </row>
    <row r="1922" spans="5:5" x14ac:dyDescent="0.25">
      <c r="E1922" s="20"/>
    </row>
    <row r="1923" spans="5:5" x14ac:dyDescent="0.25">
      <c r="E1923" s="20"/>
    </row>
    <row r="1924" spans="5:5" x14ac:dyDescent="0.25">
      <c r="E1924" s="20"/>
    </row>
    <row r="1925" spans="5:5" x14ac:dyDescent="0.25">
      <c r="E1925" s="20"/>
    </row>
    <row r="1926" spans="5:5" x14ac:dyDescent="0.25">
      <c r="E1926" s="20"/>
    </row>
    <row r="1927" spans="5:5" x14ac:dyDescent="0.25">
      <c r="E1927" s="20"/>
    </row>
    <row r="1928" spans="5:5" x14ac:dyDescent="0.25">
      <c r="E1928" s="20"/>
    </row>
    <row r="1929" spans="5:5" x14ac:dyDescent="0.25">
      <c r="E1929" s="20"/>
    </row>
    <row r="1930" spans="5:5" x14ac:dyDescent="0.25">
      <c r="E1930" s="20"/>
    </row>
    <row r="1931" spans="5:5" x14ac:dyDescent="0.25">
      <c r="E1931" s="20"/>
    </row>
    <row r="1932" spans="5:5" x14ac:dyDescent="0.25">
      <c r="E1932" s="20"/>
    </row>
    <row r="1933" spans="5:5" x14ac:dyDescent="0.25">
      <c r="E1933" s="20"/>
    </row>
    <row r="1934" spans="5:5" x14ac:dyDescent="0.25">
      <c r="E1934" s="20"/>
    </row>
    <row r="1935" spans="5:5" x14ac:dyDescent="0.25">
      <c r="E1935" s="20"/>
    </row>
    <row r="1936" spans="5:5" x14ac:dyDescent="0.25">
      <c r="E1936" s="20"/>
    </row>
    <row r="1937" spans="5:5" x14ac:dyDescent="0.25">
      <c r="E1937" s="20"/>
    </row>
    <row r="1938" spans="5:5" x14ac:dyDescent="0.25">
      <c r="E1938" s="20"/>
    </row>
    <row r="1939" spans="5:5" x14ac:dyDescent="0.25">
      <c r="E1939" s="20"/>
    </row>
    <row r="1940" spans="5:5" x14ac:dyDescent="0.25">
      <c r="E1940" s="20"/>
    </row>
    <row r="1941" spans="5:5" x14ac:dyDescent="0.25">
      <c r="E1941" s="20"/>
    </row>
    <row r="1942" spans="5:5" x14ac:dyDescent="0.25">
      <c r="E1942" s="20"/>
    </row>
    <row r="1943" spans="5:5" x14ac:dyDescent="0.25">
      <c r="E1943" s="20"/>
    </row>
    <row r="1944" spans="5:5" x14ac:dyDescent="0.25">
      <c r="E1944" s="20"/>
    </row>
    <row r="1945" spans="5:5" x14ac:dyDescent="0.25">
      <c r="E1945" s="20"/>
    </row>
    <row r="1946" spans="5:5" x14ac:dyDescent="0.25">
      <c r="E1946" s="20"/>
    </row>
    <row r="1947" spans="5:5" x14ac:dyDescent="0.25">
      <c r="E1947" s="20"/>
    </row>
    <row r="1948" spans="5:5" x14ac:dyDescent="0.25">
      <c r="E1948" s="20"/>
    </row>
    <row r="1949" spans="5:5" x14ac:dyDescent="0.25">
      <c r="E1949" s="20"/>
    </row>
    <row r="1950" spans="5:5" x14ac:dyDescent="0.25">
      <c r="E1950" s="20"/>
    </row>
    <row r="1951" spans="5:5" x14ac:dyDescent="0.25">
      <c r="E1951" s="20"/>
    </row>
    <row r="1952" spans="5:5" x14ac:dyDescent="0.25">
      <c r="E1952" s="20"/>
    </row>
    <row r="1953" spans="5:5" x14ac:dyDescent="0.25">
      <c r="E1953" s="20"/>
    </row>
    <row r="1954" spans="5:5" x14ac:dyDescent="0.25">
      <c r="E1954" s="20"/>
    </row>
    <row r="1955" spans="5:5" x14ac:dyDescent="0.25">
      <c r="E1955" s="20"/>
    </row>
    <row r="1956" spans="5:5" x14ac:dyDescent="0.25">
      <c r="E1956" s="20"/>
    </row>
    <row r="1957" spans="5:5" x14ac:dyDescent="0.25">
      <c r="E1957" s="20"/>
    </row>
    <row r="1958" spans="5:5" x14ac:dyDescent="0.25">
      <c r="E1958" s="20"/>
    </row>
    <row r="1959" spans="5:5" x14ac:dyDescent="0.25">
      <c r="E1959" s="20"/>
    </row>
    <row r="1960" spans="5:5" x14ac:dyDescent="0.25">
      <c r="E1960" s="20"/>
    </row>
    <row r="1961" spans="5:5" x14ac:dyDescent="0.25">
      <c r="E1961" s="20"/>
    </row>
    <row r="1962" spans="5:5" x14ac:dyDescent="0.25">
      <c r="E1962" s="20"/>
    </row>
    <row r="1963" spans="5:5" x14ac:dyDescent="0.25">
      <c r="E1963" s="20"/>
    </row>
    <row r="1964" spans="5:5" x14ac:dyDescent="0.25">
      <c r="E1964" s="20"/>
    </row>
    <row r="1965" spans="5:5" x14ac:dyDescent="0.25">
      <c r="E1965" s="20"/>
    </row>
    <row r="1966" spans="5:5" x14ac:dyDescent="0.25">
      <c r="E1966" s="20"/>
    </row>
    <row r="1967" spans="5:5" x14ac:dyDescent="0.25">
      <c r="E1967" s="20"/>
    </row>
    <row r="1968" spans="5:5" x14ac:dyDescent="0.25">
      <c r="E1968" s="20"/>
    </row>
    <row r="1969" spans="5:5" x14ac:dyDescent="0.25">
      <c r="E1969" s="20"/>
    </row>
    <row r="1970" spans="5:5" x14ac:dyDescent="0.25">
      <c r="E1970" s="20"/>
    </row>
    <row r="1971" spans="5:5" x14ac:dyDescent="0.25">
      <c r="E1971" s="20"/>
    </row>
    <row r="1972" spans="5:5" x14ac:dyDescent="0.25">
      <c r="E1972" s="20"/>
    </row>
    <row r="1973" spans="5:5" x14ac:dyDescent="0.25">
      <c r="E1973" s="20"/>
    </row>
    <row r="1974" spans="5:5" x14ac:dyDescent="0.25">
      <c r="E1974" s="20"/>
    </row>
    <row r="1975" spans="5:5" x14ac:dyDescent="0.25">
      <c r="E1975" s="20"/>
    </row>
    <row r="1976" spans="5:5" x14ac:dyDescent="0.25">
      <c r="E1976" s="20"/>
    </row>
    <row r="1977" spans="5:5" x14ac:dyDescent="0.25">
      <c r="E1977" s="20"/>
    </row>
    <row r="1978" spans="5:5" x14ac:dyDescent="0.25">
      <c r="E1978" s="20"/>
    </row>
    <row r="1979" spans="5:5" x14ac:dyDescent="0.25">
      <c r="E1979" s="20"/>
    </row>
    <row r="1980" spans="5:5" x14ac:dyDescent="0.25">
      <c r="E1980" s="20"/>
    </row>
    <row r="1981" spans="5:5" x14ac:dyDescent="0.25">
      <c r="E1981" s="20"/>
    </row>
    <row r="1982" spans="5:5" x14ac:dyDescent="0.25">
      <c r="E1982" s="20"/>
    </row>
    <row r="1983" spans="5:5" x14ac:dyDescent="0.25">
      <c r="E1983" s="20"/>
    </row>
    <row r="1984" spans="5:5" x14ac:dyDescent="0.25">
      <c r="E1984" s="20"/>
    </row>
    <row r="1985" spans="5:5" x14ac:dyDescent="0.25">
      <c r="E1985" s="20"/>
    </row>
    <row r="1986" spans="5:5" x14ac:dyDescent="0.25">
      <c r="E1986" s="20"/>
    </row>
    <row r="1987" spans="5:5" x14ac:dyDescent="0.25">
      <c r="E1987" s="20"/>
    </row>
    <row r="1988" spans="5:5" x14ac:dyDescent="0.25">
      <c r="E1988" s="20"/>
    </row>
    <row r="1989" spans="5:5" x14ac:dyDescent="0.25">
      <c r="E1989" s="20"/>
    </row>
    <row r="1990" spans="5:5" x14ac:dyDescent="0.25">
      <c r="E1990" s="20"/>
    </row>
    <row r="1991" spans="5:5" x14ac:dyDescent="0.25">
      <c r="E1991" s="20"/>
    </row>
    <row r="1992" spans="5:5" x14ac:dyDescent="0.25">
      <c r="E1992" s="20"/>
    </row>
    <row r="1993" spans="5:5" x14ac:dyDescent="0.25">
      <c r="E1993" s="20"/>
    </row>
    <row r="1994" spans="5:5" x14ac:dyDescent="0.25">
      <c r="E1994" s="20"/>
    </row>
    <row r="1995" spans="5:5" x14ac:dyDescent="0.25">
      <c r="E1995" s="20"/>
    </row>
    <row r="1996" spans="5:5" x14ac:dyDescent="0.25">
      <c r="E1996" s="20"/>
    </row>
    <row r="1997" spans="5:5" x14ac:dyDescent="0.25">
      <c r="E1997" s="20"/>
    </row>
    <row r="1998" spans="5:5" x14ac:dyDescent="0.25">
      <c r="E1998" s="20"/>
    </row>
    <row r="1999" spans="5:5" x14ac:dyDescent="0.25">
      <c r="E1999" s="20"/>
    </row>
    <row r="2000" spans="5:5" x14ac:dyDescent="0.25">
      <c r="E2000" s="20"/>
    </row>
    <row r="2001" spans="5:5" x14ac:dyDescent="0.25">
      <c r="E2001" s="20"/>
    </row>
    <row r="2002" spans="5:5" x14ac:dyDescent="0.25">
      <c r="E2002" s="20"/>
    </row>
    <row r="2003" spans="5:5" x14ac:dyDescent="0.25">
      <c r="E2003" s="20"/>
    </row>
    <row r="2004" spans="5:5" x14ac:dyDescent="0.25">
      <c r="E2004" s="20"/>
    </row>
    <row r="2005" spans="5:5" x14ac:dyDescent="0.25">
      <c r="E2005" s="20"/>
    </row>
    <row r="2006" spans="5:5" x14ac:dyDescent="0.25">
      <c r="E2006" s="20"/>
    </row>
    <row r="2007" spans="5:5" x14ac:dyDescent="0.25">
      <c r="E2007" s="20"/>
    </row>
    <row r="2008" spans="5:5" x14ac:dyDescent="0.25">
      <c r="E2008" s="20"/>
    </row>
    <row r="2009" spans="5:5" x14ac:dyDescent="0.25">
      <c r="E2009" s="20"/>
    </row>
    <row r="2010" spans="5:5" x14ac:dyDescent="0.25">
      <c r="E2010" s="20"/>
    </row>
    <row r="2011" spans="5:5" x14ac:dyDescent="0.25">
      <c r="E2011" s="20"/>
    </row>
    <row r="2012" spans="5:5" x14ac:dyDescent="0.25">
      <c r="E2012" s="20"/>
    </row>
    <row r="2013" spans="5:5" x14ac:dyDescent="0.25">
      <c r="E2013" s="20"/>
    </row>
    <row r="2014" spans="5:5" x14ac:dyDescent="0.25">
      <c r="E2014" s="20"/>
    </row>
    <row r="2015" spans="5:5" x14ac:dyDescent="0.25">
      <c r="E2015" s="20"/>
    </row>
    <row r="2016" spans="5:5" x14ac:dyDescent="0.25">
      <c r="E2016" s="20"/>
    </row>
    <row r="2017" spans="5:5" x14ac:dyDescent="0.25">
      <c r="E2017" s="20"/>
    </row>
    <row r="2018" spans="5:5" x14ac:dyDescent="0.25">
      <c r="E2018" s="20"/>
    </row>
    <row r="2019" spans="5:5" x14ac:dyDescent="0.25">
      <c r="E2019" s="20"/>
    </row>
    <row r="2020" spans="5:5" x14ac:dyDescent="0.25">
      <c r="E2020" s="20"/>
    </row>
    <row r="2021" spans="5:5" x14ac:dyDescent="0.25">
      <c r="E2021" s="20"/>
    </row>
    <row r="2022" spans="5:5" x14ac:dyDescent="0.25">
      <c r="E2022" s="20"/>
    </row>
    <row r="2023" spans="5:5" x14ac:dyDescent="0.25">
      <c r="E2023" s="20"/>
    </row>
    <row r="2024" spans="5:5" x14ac:dyDescent="0.25">
      <c r="E2024" s="20"/>
    </row>
    <row r="2025" spans="5:5" x14ac:dyDescent="0.25">
      <c r="E2025" s="20"/>
    </row>
    <row r="2026" spans="5:5" x14ac:dyDescent="0.25">
      <c r="E2026" s="20"/>
    </row>
    <row r="2027" spans="5:5" x14ac:dyDescent="0.25">
      <c r="E2027" s="20"/>
    </row>
    <row r="2028" spans="5:5" x14ac:dyDescent="0.25">
      <c r="E2028" s="20"/>
    </row>
    <row r="2029" spans="5:5" x14ac:dyDescent="0.25">
      <c r="E2029" s="20"/>
    </row>
    <row r="2030" spans="5:5" x14ac:dyDescent="0.25">
      <c r="E2030" s="20"/>
    </row>
    <row r="2031" spans="5:5" x14ac:dyDescent="0.25">
      <c r="E2031" s="20"/>
    </row>
    <row r="2032" spans="5:5" x14ac:dyDescent="0.25">
      <c r="E2032" s="20"/>
    </row>
    <row r="2033" spans="5:5" x14ac:dyDescent="0.25">
      <c r="E2033" s="20"/>
    </row>
    <row r="2034" spans="5:5" x14ac:dyDescent="0.25">
      <c r="E2034" s="20"/>
    </row>
    <row r="2035" spans="5:5" x14ac:dyDescent="0.25">
      <c r="E2035" s="20"/>
    </row>
    <row r="2036" spans="5:5" x14ac:dyDescent="0.25">
      <c r="E2036" s="20"/>
    </row>
    <row r="2037" spans="5:5" x14ac:dyDescent="0.25">
      <c r="E2037" s="20"/>
    </row>
    <row r="2038" spans="5:5" x14ac:dyDescent="0.25">
      <c r="E2038" s="20"/>
    </row>
    <row r="2039" spans="5:5" x14ac:dyDescent="0.25">
      <c r="E2039" s="20"/>
    </row>
    <row r="2040" spans="5:5" x14ac:dyDescent="0.25">
      <c r="E2040" s="20"/>
    </row>
    <row r="2041" spans="5:5" x14ac:dyDescent="0.25">
      <c r="E2041" s="20"/>
    </row>
    <row r="2042" spans="5:5" x14ac:dyDescent="0.25">
      <c r="E2042" s="20"/>
    </row>
    <row r="2043" spans="5:5" x14ac:dyDescent="0.25">
      <c r="E2043" s="20"/>
    </row>
    <row r="2044" spans="5:5" x14ac:dyDescent="0.25">
      <c r="E2044" s="20"/>
    </row>
    <row r="2045" spans="5:5" x14ac:dyDescent="0.25">
      <c r="E2045" s="20"/>
    </row>
    <row r="2046" spans="5:5" x14ac:dyDescent="0.25">
      <c r="E2046" s="20"/>
    </row>
    <row r="2047" spans="5:5" x14ac:dyDescent="0.25">
      <c r="E2047" s="20"/>
    </row>
    <row r="2048" spans="5:5" x14ac:dyDescent="0.25">
      <c r="E2048" s="20"/>
    </row>
    <row r="2049" spans="5:5" x14ac:dyDescent="0.25">
      <c r="E2049" s="20"/>
    </row>
    <row r="2050" spans="5:5" x14ac:dyDescent="0.25">
      <c r="E2050" s="20"/>
    </row>
    <row r="2051" spans="5:5" x14ac:dyDescent="0.25">
      <c r="E2051" s="20"/>
    </row>
    <row r="2052" spans="5:5" x14ac:dyDescent="0.25">
      <c r="E2052" s="20"/>
    </row>
    <row r="2053" spans="5:5" x14ac:dyDescent="0.25">
      <c r="E2053" s="20"/>
    </row>
    <row r="2054" spans="5:5" x14ac:dyDescent="0.25">
      <c r="E2054" s="20"/>
    </row>
    <row r="2055" spans="5:5" x14ac:dyDescent="0.25">
      <c r="E2055" s="20"/>
    </row>
    <row r="2056" spans="5:5" x14ac:dyDescent="0.25">
      <c r="E2056" s="20"/>
    </row>
    <row r="2057" spans="5:5" x14ac:dyDescent="0.25">
      <c r="E2057" s="20"/>
    </row>
    <row r="2058" spans="5:5" x14ac:dyDescent="0.25">
      <c r="E2058" s="20"/>
    </row>
    <row r="2059" spans="5:5" x14ac:dyDescent="0.25">
      <c r="E2059" s="20"/>
    </row>
    <row r="2060" spans="5:5" x14ac:dyDescent="0.25">
      <c r="E2060" s="20"/>
    </row>
    <row r="2061" spans="5:5" x14ac:dyDescent="0.25">
      <c r="E2061" s="20"/>
    </row>
    <row r="2062" spans="5:5" x14ac:dyDescent="0.25">
      <c r="E2062" s="20"/>
    </row>
    <row r="2063" spans="5:5" x14ac:dyDescent="0.25">
      <c r="E2063" s="20"/>
    </row>
    <row r="2064" spans="5:5" x14ac:dyDescent="0.25">
      <c r="E2064" s="20"/>
    </row>
    <row r="2065" spans="5:5" x14ac:dyDescent="0.25">
      <c r="E2065" s="20"/>
    </row>
    <row r="2066" spans="5:5" x14ac:dyDescent="0.25">
      <c r="E2066" s="20"/>
    </row>
    <row r="2067" spans="5:5" x14ac:dyDescent="0.25">
      <c r="E2067" s="20"/>
    </row>
    <row r="2068" spans="5:5" x14ac:dyDescent="0.25">
      <c r="E2068" s="20"/>
    </row>
    <row r="2069" spans="5:5" x14ac:dyDescent="0.25">
      <c r="E2069" s="20"/>
    </row>
    <row r="2070" spans="5:5" x14ac:dyDescent="0.25">
      <c r="E2070" s="20"/>
    </row>
    <row r="2071" spans="5:5" x14ac:dyDescent="0.25">
      <c r="E2071" s="20"/>
    </row>
    <row r="2072" spans="5:5" x14ac:dyDescent="0.25">
      <c r="E2072" s="20"/>
    </row>
    <row r="2073" spans="5:5" x14ac:dyDescent="0.25">
      <c r="E2073" s="20"/>
    </row>
    <row r="2074" spans="5:5" x14ac:dyDescent="0.25">
      <c r="E2074" s="20"/>
    </row>
    <row r="2075" spans="5:5" x14ac:dyDescent="0.25">
      <c r="E2075" s="20"/>
    </row>
    <row r="2076" spans="5:5" x14ac:dyDescent="0.25">
      <c r="E2076" s="20"/>
    </row>
    <row r="2077" spans="5:5" x14ac:dyDescent="0.25">
      <c r="E2077" s="20"/>
    </row>
    <row r="2078" spans="5:5" x14ac:dyDescent="0.25">
      <c r="E2078" s="20"/>
    </row>
    <row r="2079" spans="5:5" x14ac:dyDescent="0.25">
      <c r="E2079" s="20"/>
    </row>
    <row r="2080" spans="5:5" x14ac:dyDescent="0.25">
      <c r="E2080" s="20"/>
    </row>
    <row r="2081" spans="5:5" x14ac:dyDescent="0.25">
      <c r="E2081" s="20"/>
    </row>
    <row r="2082" spans="5:5" x14ac:dyDescent="0.25">
      <c r="E2082" s="20"/>
    </row>
    <row r="2083" spans="5:5" x14ac:dyDescent="0.25">
      <c r="E2083" s="20"/>
    </row>
    <row r="2084" spans="5:5" x14ac:dyDescent="0.25">
      <c r="E2084" s="20"/>
    </row>
    <row r="2085" spans="5:5" x14ac:dyDescent="0.25">
      <c r="E2085" s="20"/>
    </row>
    <row r="2086" spans="5:5" x14ac:dyDescent="0.25">
      <c r="E2086" s="20"/>
    </row>
    <row r="2087" spans="5:5" x14ac:dyDescent="0.25">
      <c r="E2087" s="20"/>
    </row>
    <row r="2088" spans="5:5" x14ac:dyDescent="0.25">
      <c r="E2088" s="20"/>
    </row>
    <row r="2089" spans="5:5" x14ac:dyDescent="0.25">
      <c r="E2089" s="20"/>
    </row>
    <row r="2090" spans="5:5" x14ac:dyDescent="0.25">
      <c r="E2090" s="20"/>
    </row>
    <row r="2091" spans="5:5" x14ac:dyDescent="0.25">
      <c r="E2091" s="20"/>
    </row>
    <row r="2092" spans="5:5" x14ac:dyDescent="0.25">
      <c r="E2092" s="20"/>
    </row>
    <row r="2093" spans="5:5" x14ac:dyDescent="0.25">
      <c r="E2093" s="20"/>
    </row>
    <row r="2094" spans="5:5" x14ac:dyDescent="0.25">
      <c r="E2094" s="20"/>
    </row>
    <row r="2095" spans="5:5" x14ac:dyDescent="0.25">
      <c r="E2095" s="20"/>
    </row>
    <row r="2096" spans="5:5" x14ac:dyDescent="0.25">
      <c r="E2096" s="20"/>
    </row>
    <row r="2097" spans="5:5" x14ac:dyDescent="0.25">
      <c r="E2097" s="20"/>
    </row>
    <row r="2098" spans="5:5" x14ac:dyDescent="0.25">
      <c r="E2098" s="20"/>
    </row>
    <row r="2099" spans="5:5" x14ac:dyDescent="0.25">
      <c r="E2099" s="20"/>
    </row>
    <row r="2100" spans="5:5" x14ac:dyDescent="0.25">
      <c r="E2100" s="20"/>
    </row>
    <row r="2101" spans="5:5" x14ac:dyDescent="0.25">
      <c r="E2101" s="20"/>
    </row>
    <row r="2102" spans="5:5" x14ac:dyDescent="0.25">
      <c r="E2102" s="20"/>
    </row>
    <row r="2103" spans="5:5" x14ac:dyDescent="0.25">
      <c r="E2103" s="20"/>
    </row>
    <row r="2104" spans="5:5" x14ac:dyDescent="0.25">
      <c r="E2104" s="20"/>
    </row>
    <row r="2105" spans="5:5" x14ac:dyDescent="0.25">
      <c r="E2105" s="20"/>
    </row>
    <row r="2106" spans="5:5" x14ac:dyDescent="0.25">
      <c r="E2106" s="20"/>
    </row>
    <row r="2107" spans="5:5" x14ac:dyDescent="0.25">
      <c r="E2107" s="20"/>
    </row>
    <row r="2108" spans="5:5" x14ac:dyDescent="0.25">
      <c r="E2108" s="20"/>
    </row>
    <row r="2109" spans="5:5" x14ac:dyDescent="0.25">
      <c r="E2109" s="20"/>
    </row>
    <row r="2110" spans="5:5" x14ac:dyDescent="0.25">
      <c r="E2110" s="20"/>
    </row>
    <row r="2111" spans="5:5" x14ac:dyDescent="0.25">
      <c r="E2111" s="20"/>
    </row>
    <row r="2112" spans="5:5" x14ac:dyDescent="0.25">
      <c r="E2112" s="20"/>
    </row>
    <row r="2113" spans="5:5" x14ac:dyDescent="0.25">
      <c r="E2113" s="20"/>
    </row>
    <row r="2114" spans="5:5" x14ac:dyDescent="0.25">
      <c r="E2114" s="20"/>
    </row>
    <row r="2115" spans="5:5" x14ac:dyDescent="0.25">
      <c r="E2115" s="20"/>
    </row>
    <row r="2116" spans="5:5" x14ac:dyDescent="0.25">
      <c r="E2116" s="20"/>
    </row>
    <row r="2117" spans="5:5" x14ac:dyDescent="0.25">
      <c r="E2117" s="20"/>
    </row>
    <row r="2118" spans="5:5" x14ac:dyDescent="0.25">
      <c r="E2118" s="20"/>
    </row>
    <row r="2119" spans="5:5" x14ac:dyDescent="0.25">
      <c r="E2119" s="20"/>
    </row>
    <row r="2120" spans="5:5" x14ac:dyDescent="0.25">
      <c r="E2120" s="20"/>
    </row>
    <row r="2121" spans="5:5" x14ac:dyDescent="0.25">
      <c r="E2121" s="20"/>
    </row>
    <row r="2122" spans="5:5" x14ac:dyDescent="0.25">
      <c r="E2122" s="20"/>
    </row>
    <row r="2123" spans="5:5" x14ac:dyDescent="0.25">
      <c r="E2123" s="20"/>
    </row>
    <row r="2124" spans="5:5" x14ac:dyDescent="0.25">
      <c r="E2124" s="20"/>
    </row>
    <row r="2125" spans="5:5" x14ac:dyDescent="0.25">
      <c r="E2125" s="20"/>
    </row>
    <row r="2126" spans="5:5" x14ac:dyDescent="0.25">
      <c r="E2126" s="20"/>
    </row>
    <row r="2127" spans="5:5" x14ac:dyDescent="0.25">
      <c r="E2127" s="20"/>
    </row>
    <row r="2128" spans="5:5" x14ac:dyDescent="0.25">
      <c r="E2128" s="20"/>
    </row>
    <row r="2129" spans="5:5" x14ac:dyDescent="0.25">
      <c r="E2129" s="20"/>
    </row>
    <row r="2130" spans="5:5" x14ac:dyDescent="0.25">
      <c r="E2130" s="20"/>
    </row>
    <row r="2131" spans="5:5" x14ac:dyDescent="0.25">
      <c r="E2131" s="20"/>
    </row>
    <row r="2132" spans="5:5" x14ac:dyDescent="0.25">
      <c r="E2132" s="20"/>
    </row>
    <row r="2133" spans="5:5" x14ac:dyDescent="0.25">
      <c r="E2133" s="20"/>
    </row>
    <row r="2134" spans="5:5" x14ac:dyDescent="0.25">
      <c r="E2134" s="20"/>
    </row>
    <row r="2135" spans="5:5" x14ac:dyDescent="0.25">
      <c r="E2135" s="20"/>
    </row>
    <row r="2136" spans="5:5" x14ac:dyDescent="0.25">
      <c r="E2136" s="20"/>
    </row>
    <row r="2137" spans="5:5" x14ac:dyDescent="0.25">
      <c r="E2137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9991-7CCA-4FEF-895F-FA9DF24BFB6F}">
  <sheetPr codeName="Sheet6"/>
  <dimension ref="A1:AE149"/>
  <sheetViews>
    <sheetView showGridLines="0" tabSelected="1" zoomScaleNormal="100" workbookViewId="0">
      <selection activeCell="C25" sqref="C25"/>
    </sheetView>
  </sheetViews>
  <sheetFormatPr defaultColWidth="9.140625" defaultRowHeight="15" x14ac:dyDescent="0.25"/>
  <cols>
    <col min="1" max="2" width="27.42578125" customWidth="1"/>
    <col min="10" max="16" width="9.140625" hidden="1" customWidth="1"/>
    <col min="20" max="20" width="13.7109375" style="1" customWidth="1"/>
    <col min="21" max="21" width="9.140625" style="1"/>
    <col min="22" max="22" width="45.7109375" customWidth="1"/>
    <col min="23" max="23" width="9.140625" style="1"/>
    <col min="24" max="28" width="9.140625" hidden="1" customWidth="1"/>
    <col min="29" max="31" width="9.140625" style="1" hidden="1" customWidth="1"/>
  </cols>
  <sheetData>
    <row r="1" spans="1:31" x14ac:dyDescent="0.25">
      <c r="B1" s="5" t="s">
        <v>12</v>
      </c>
      <c r="C1" s="6">
        <v>2022</v>
      </c>
    </row>
    <row r="2" spans="1:31" x14ac:dyDescent="0.25">
      <c r="B2" s="5" t="s">
        <v>9</v>
      </c>
      <c r="C2" s="6">
        <v>18</v>
      </c>
    </row>
    <row r="4" spans="1:31" x14ac:dyDescent="0.25">
      <c r="B4" s="5" t="s">
        <v>28</v>
      </c>
      <c r="C4" s="12" t="b">
        <v>1</v>
      </c>
    </row>
    <row r="5" spans="1:31" x14ac:dyDescent="0.25">
      <c r="B5" s="5" t="s">
        <v>15</v>
      </c>
      <c r="C5" s="15">
        <v>0.32777777777777778</v>
      </c>
      <c r="D5" s="15">
        <v>0.32777777777777778</v>
      </c>
      <c r="E5" s="15">
        <v>0.32777777777777778</v>
      </c>
      <c r="F5" s="15">
        <v>0.32777777777777778</v>
      </c>
      <c r="G5" s="15">
        <v>0.32777777777777778</v>
      </c>
      <c r="H5" s="15">
        <v>0.32777777777777778</v>
      </c>
      <c r="I5" s="15">
        <v>0.32777777777777778</v>
      </c>
    </row>
    <row r="6" spans="1:31" x14ac:dyDescent="0.25">
      <c r="B6" s="5" t="s">
        <v>11</v>
      </c>
      <c r="C6" s="16">
        <f t="shared" ref="C6:I6" si="0">COUNT(C10:C29)</f>
        <v>1</v>
      </c>
      <c r="D6" s="16">
        <f t="shared" si="0"/>
        <v>1</v>
      </c>
      <c r="E6" s="16">
        <f t="shared" si="0"/>
        <v>1</v>
      </c>
      <c r="F6" s="16">
        <f t="shared" si="0"/>
        <v>1</v>
      </c>
      <c r="G6" s="16">
        <f t="shared" si="0"/>
        <v>1</v>
      </c>
      <c r="H6" s="16">
        <f t="shared" si="0"/>
        <v>0</v>
      </c>
      <c r="I6" s="16">
        <f t="shared" si="0"/>
        <v>0</v>
      </c>
      <c r="J6">
        <v>0</v>
      </c>
      <c r="K6" s="9">
        <f>SUM($C6:C6)</f>
        <v>1</v>
      </c>
      <c r="L6" s="9">
        <f>SUM($C6:D6)</f>
        <v>2</v>
      </c>
      <c r="M6" s="9">
        <f>SUM($C6:E6)</f>
        <v>3</v>
      </c>
      <c r="N6" s="9">
        <f>SUM($C6:F6)</f>
        <v>4</v>
      </c>
      <c r="O6" s="9">
        <f>SUM($C6:G6)</f>
        <v>5</v>
      </c>
      <c r="P6" s="9">
        <f>SUM($C6:H6)</f>
        <v>5</v>
      </c>
    </row>
    <row r="7" spans="1:31" x14ac:dyDescent="0.25">
      <c r="B7" s="5" t="s">
        <v>10</v>
      </c>
      <c r="C7" s="17">
        <f t="shared" ref="C7:I7" si="1">SUM(C10:C29)</f>
        <v>7.5</v>
      </c>
      <c r="D7" s="17">
        <f t="shared" si="1"/>
        <v>7.5</v>
      </c>
      <c r="E7" s="17">
        <f t="shared" si="1"/>
        <v>7.5</v>
      </c>
      <c r="F7" s="17">
        <f t="shared" si="1"/>
        <v>7.5</v>
      </c>
      <c r="G7" s="17">
        <f t="shared" si="1"/>
        <v>7.5</v>
      </c>
      <c r="H7" s="17">
        <f t="shared" si="1"/>
        <v>0</v>
      </c>
      <c r="I7" s="17">
        <f t="shared" si="1"/>
        <v>0</v>
      </c>
      <c r="T7"/>
    </row>
    <row r="8" spans="1:31" x14ac:dyDescent="0.25">
      <c r="C8" s="4">
        <f>IF(WEEKDAY(DATE(C1,1,1),3)&lt;=3,DATE(C1,1,1)-WEEKDAY(DATE(C1,1,1),3)+7*(C2-1),DATE(C1,1,1)+7-WEEKDAY(DATE(C1,1,1),3)+7*(C2-1))</f>
        <v>44683</v>
      </c>
      <c r="D8" s="4">
        <f>C8+1</f>
        <v>44684</v>
      </c>
      <c r="E8" s="4">
        <f t="shared" ref="E8:I8" si="2">D8+1</f>
        <v>44685</v>
      </c>
      <c r="F8" s="4">
        <f t="shared" si="2"/>
        <v>44686</v>
      </c>
      <c r="G8" s="4">
        <f t="shared" si="2"/>
        <v>44687</v>
      </c>
      <c r="H8" s="4">
        <f t="shared" si="2"/>
        <v>44688</v>
      </c>
      <c r="I8" s="4">
        <f t="shared" si="2"/>
        <v>44689</v>
      </c>
    </row>
    <row r="9" spans="1:31" x14ac:dyDescent="0.25">
      <c r="A9" s="2" t="s">
        <v>0</v>
      </c>
      <c r="B9" s="2" t="s">
        <v>1</v>
      </c>
      <c r="C9" s="3" t="s">
        <v>2</v>
      </c>
      <c r="D9" s="3" t="s">
        <v>3</v>
      </c>
      <c r="E9" s="3" t="s">
        <v>4</v>
      </c>
      <c r="F9" s="3" t="s">
        <v>5</v>
      </c>
      <c r="G9" s="3" t="s">
        <v>6</v>
      </c>
      <c r="H9" s="3" t="s">
        <v>7</v>
      </c>
      <c r="I9" s="3" t="s">
        <v>8</v>
      </c>
      <c r="R9" s="3" t="s">
        <v>25</v>
      </c>
      <c r="S9" s="3" t="s">
        <v>26</v>
      </c>
      <c r="T9" s="3" t="s">
        <v>14</v>
      </c>
      <c r="U9" s="3" t="s">
        <v>17</v>
      </c>
      <c r="V9" s="2" t="s">
        <v>16</v>
      </c>
      <c r="W9" s="3" t="s">
        <v>18</v>
      </c>
      <c r="X9" s="2" t="s">
        <v>13</v>
      </c>
      <c r="Y9" s="2" t="s">
        <v>19</v>
      </c>
      <c r="Z9" s="2" t="s">
        <v>20</v>
      </c>
      <c r="AA9" s="2" t="s">
        <v>21</v>
      </c>
      <c r="AB9" s="2" t="s">
        <v>22</v>
      </c>
      <c r="AC9" s="3" t="s">
        <v>23</v>
      </c>
      <c r="AD9" s="3" t="s">
        <v>24</v>
      </c>
      <c r="AE9" s="3" t="s">
        <v>27</v>
      </c>
    </row>
    <row r="10" spans="1:31" x14ac:dyDescent="0.25">
      <c r="A10" s="6" t="s">
        <v>29</v>
      </c>
      <c r="B10" s="6" t="s">
        <v>30</v>
      </c>
      <c r="C10" s="18">
        <v>7.5</v>
      </c>
      <c r="D10" s="18">
        <v>7.5</v>
      </c>
      <c r="E10" s="18">
        <v>7.5</v>
      </c>
      <c r="F10" s="18">
        <v>7.5</v>
      </c>
      <c r="G10" s="18">
        <v>7.5</v>
      </c>
      <c r="H10" s="18"/>
      <c r="I10" s="18"/>
      <c r="J10" s="7">
        <f>IF(C10&gt;0,COUNT(C$10:C10),0)</f>
        <v>1</v>
      </c>
      <c r="K10" s="7">
        <f>IF(D10&gt;0,COUNT(D$10:D10),0)</f>
        <v>1</v>
      </c>
      <c r="L10" s="7">
        <f>IF(E10&gt;0,COUNT(E$10:E10),0)</f>
        <v>1</v>
      </c>
      <c r="M10" s="7">
        <f>IF(F10&gt;0,COUNT(F$10:F10),0)</f>
        <v>1</v>
      </c>
      <c r="N10" s="7">
        <f>IF(G10&gt;0,COUNT(G$10:G10),0)</f>
        <v>1</v>
      </c>
      <c r="O10" s="7">
        <f>IF(H10&gt;0,COUNT(H$10:H10),0)</f>
        <v>0</v>
      </c>
      <c r="P10" s="7">
        <f>IF(I10&gt;0,COUNT(I$10:I10),0)</f>
        <v>0</v>
      </c>
      <c r="R10" s="14"/>
      <c r="S10" s="12"/>
      <c r="T10" s="10" cm="1">
        <f t="array" ref="T10">IF(OR(X10&gt;SUM(C$6:I$6),Y9=Y10),"",INDEX(C$8:I$8,Y10))</f>
        <v>44683</v>
      </c>
      <c r="U10" s="11" cm="1">
        <f t="array" ref="U10">IF(X10&gt;SUM(C$6:I$6),"",IF(Z10=1,INDEX(C$5:I$5,Y10),U9+AB9/24+IF(AC9,0.5/24,0)+IF(AD9,8/(60*24),0)))</f>
        <v>0.32777777777777778</v>
      </c>
      <c r="V10" s="7" t="str" cm="1">
        <f t="array" ref="V10">IF(X10&gt;SUM(C$6:I$6),"",INDEX(B$10:B$29,AA10))&amp;IF(R10="","",";OVT")&amp;IF(S10="","",";Pay OVT Addition")</f>
        <v>NOR/400748/000T001</v>
      </c>
      <c r="W10" s="11">
        <f t="shared" ref="W10:W39" si="3">IF(OR(X10&gt;SUM(C$6:I$6),Y10=Y11),"",U10+AB10/24+IF(AC10,0.5/24,0)+IF(AD10,8/(60*24),0))</f>
        <v>0.66666666666666663</v>
      </c>
      <c r="X10" s="7">
        <v>1</v>
      </c>
      <c r="Y10" s="7">
        <f t="shared" ref="Y10:Y39" si="4">IF(X10&gt;SUM(C$6:I$6),"",MATCH(X10-1,J$6:P$6,1))</f>
        <v>1</v>
      </c>
      <c r="Z10" s="7">
        <f t="shared" ref="Z10:Z39" si="5">IF(X10&gt;SUM(C$6:I$6),"",IF(Y10=Y9,Z9+1,1))</f>
        <v>1</v>
      </c>
      <c r="AA10" s="7">
        <f t="shared" ref="AA10:AA39" si="6">IF(X10&gt;SUM(C$6:I$6),"",MATCH(Z10,CHOOSE(Y10,J$10:J$29,K$10:K$29,L$10:L$29,M$10:M$29,N$10:N$29,O$10:O$29,P$10:P$29),0))</f>
        <v>1</v>
      </c>
      <c r="AB10" s="8" cm="1">
        <f t="array" ref="AB10">IF(X10&gt;SUM(C$6:I$6),"",INDEX(C$10:I$29,AA10,Y10))</f>
        <v>7.5</v>
      </c>
      <c r="AC10" s="13" t="b">
        <f>IF(X10&gt;SUM(C$6:I$6),"",AND(SUMIF(Y$10:Y10,Y10,AB$10:AB10)-AB10&lt;4,SUMIF(Y$10:Y10,Y10,AB$10:AB10)&gt;=4))</f>
        <v>1</v>
      </c>
      <c r="AD10" s="13" t="b">
        <f>IF(X10&gt;SUM(C$6:I$6),"",AND($C$4,Z10=1))</f>
        <v>1</v>
      </c>
      <c r="AE10" s="13" t="b">
        <f>IF(X10&gt;SUM(C$6:I$6),"",OR(SUMIF(Y$10:Y$39,Y10,AB$10:AB$39)&gt;7.5,Y10&gt;5,_xlfn.MAXIFS(W$10:W$39,Y$10:Y$39,Y10)&gt;21/24))</f>
        <v>0</v>
      </c>
    </row>
    <row r="11" spans="1:31" x14ac:dyDescent="0.25">
      <c r="A11" s="6" t="s">
        <v>32</v>
      </c>
      <c r="B11" s="6" t="s">
        <v>31</v>
      </c>
      <c r="C11" s="18"/>
      <c r="D11" s="18"/>
      <c r="E11" s="18"/>
      <c r="F11" s="18"/>
      <c r="G11" s="18"/>
      <c r="H11" s="18"/>
      <c r="I11" s="18"/>
      <c r="J11" s="7">
        <f>IF(C11&gt;0,COUNT(C$10:C11),0)</f>
        <v>0</v>
      </c>
      <c r="K11" s="7">
        <f>IF(D11&gt;0,COUNT(D$10:D11),0)</f>
        <v>0</v>
      </c>
      <c r="L11" s="7">
        <f>IF(E11&gt;0,COUNT(E$10:E11),0)</f>
        <v>0</v>
      </c>
      <c r="M11" s="7">
        <f>IF(F11&gt;0,COUNT(F$10:F11),0)</f>
        <v>0</v>
      </c>
      <c r="N11" s="7">
        <f>IF(G11&gt;0,COUNT(G$10:G11),0)</f>
        <v>0</v>
      </c>
      <c r="O11" s="7">
        <f>IF(H11&gt;0,COUNT(H$10:H11),0)</f>
        <v>0</v>
      </c>
      <c r="P11" s="7">
        <f>IF(I11&gt;0,COUNT(I$10:I11),0)</f>
        <v>0</v>
      </c>
      <c r="R11" s="12"/>
      <c r="S11" s="12"/>
      <c r="T11" s="10" cm="1">
        <f t="array" ref="T11">IF(OR(X11&gt;SUM(C$6:I$6),Y10=Y11),"",INDEX(C$8:I$8,Y11))</f>
        <v>44684</v>
      </c>
      <c r="U11" s="11" cm="1">
        <f t="array" ref="U11">IF(X11&gt;SUM(C$6:I$6),"",IF(Z11=1,INDEX(C$5:I$5,Y11),U10+AB10/24+IF(AC10,0.5/24,0)+IF(AD10,8/(60*24),0)))</f>
        <v>0.32777777777777778</v>
      </c>
      <c r="V11" s="7" t="str" cm="1">
        <f t="array" ref="V11">IF(X11&gt;SUM(C$6:I$6),"",INDEX(B$10:B$29,AA11))&amp;IF(R11="","",";OVT")&amp;IF(S11="","",";Pay OVT Addition")</f>
        <v>NOR/400748/000T001</v>
      </c>
      <c r="W11" s="11">
        <f t="shared" si="3"/>
        <v>0.66666666666666663</v>
      </c>
      <c r="X11" s="7">
        <v>2</v>
      </c>
      <c r="Y11" s="7">
        <f t="shared" si="4"/>
        <v>2</v>
      </c>
      <c r="Z11" s="7">
        <f t="shared" si="5"/>
        <v>1</v>
      </c>
      <c r="AA11" s="7">
        <f t="shared" si="6"/>
        <v>1</v>
      </c>
      <c r="AB11" s="8" cm="1">
        <f t="array" ref="AB11">IF(X11&gt;SUM(C$6:I$6),"",INDEX(C$10:I$29,AA11,Y11))</f>
        <v>7.5</v>
      </c>
      <c r="AC11" s="13" t="b">
        <f>IF(X11&gt;SUM(C$6:I$6),"",AND(SUMIF(Y$10:Y11,Y11,AB$10:AB11)-AB11&lt;4,SUMIF(Y$10:Y11,Y11,AB$10:AB11)&gt;=4))</f>
        <v>1</v>
      </c>
      <c r="AD11" s="13" t="b">
        <f t="shared" ref="AD11:AD39" si="7">IF(X11&gt;SUM(C$6:I$6),"",AND($C$4,Z11=1))</f>
        <v>1</v>
      </c>
      <c r="AE11" s="13" t="b">
        <f t="shared" ref="AE11:AE39" si="8">IF(X11&gt;SUM(C$6:I$6),"",OR(SUMIF(Y$10:Y$39,Y11,AB$10:AB$39)&gt;7.5,Y11&gt;5,_xlfn.MAXIFS(W$10:W$39,Y$10:Y$39,Y11)&gt;21/24))</f>
        <v>0</v>
      </c>
    </row>
    <row r="12" spans="1:31" x14ac:dyDescent="0.25">
      <c r="A12" s="6" t="s">
        <v>33</v>
      </c>
      <c r="B12" s="6" t="s">
        <v>34</v>
      </c>
      <c r="C12" s="18"/>
      <c r="D12" s="18"/>
      <c r="E12" s="18"/>
      <c r="F12" s="18"/>
      <c r="G12" s="18"/>
      <c r="H12" s="18"/>
      <c r="I12" s="18"/>
      <c r="J12" s="7">
        <f>IF(C12&gt;0,COUNT(C$10:C12),0)</f>
        <v>0</v>
      </c>
      <c r="K12" s="7">
        <f>IF(D12&gt;0,COUNT(D$10:D12),0)</f>
        <v>0</v>
      </c>
      <c r="L12" s="7">
        <f>IF(E12&gt;0,COUNT(E$10:E12),0)</f>
        <v>0</v>
      </c>
      <c r="M12" s="7">
        <f>IF(F12&gt;0,COUNT(F$10:F12),0)</f>
        <v>0</v>
      </c>
      <c r="N12" s="7">
        <f>IF(G12&gt;0,COUNT(G$10:G12),0)</f>
        <v>0</v>
      </c>
      <c r="O12" s="7">
        <f>IF(H12&gt;0,COUNT(H$10:H12),0)</f>
        <v>0</v>
      </c>
      <c r="P12" s="7">
        <f>IF(I12&gt;0,COUNT(I$10:I12),0)</f>
        <v>0</v>
      </c>
      <c r="R12" s="12"/>
      <c r="S12" s="12"/>
      <c r="T12" s="10" cm="1">
        <f t="array" ref="T12">IF(OR(X12&gt;SUM(C$6:I$6),Y11=Y12),"",INDEX(C$8:I$8,Y12))</f>
        <v>44685</v>
      </c>
      <c r="U12" s="11" cm="1">
        <f t="array" ref="U12">IF(X12&gt;SUM(C$6:I$6),"",IF(Z12=1,INDEX(C$5:I$5,Y12),U11+AB11/24+IF(AC11,0.5/24,0)+IF(AD11,8/(60*24),0)))</f>
        <v>0.32777777777777778</v>
      </c>
      <c r="V12" s="7" t="str" cm="1">
        <f t="array" ref="V12">IF(X12&gt;SUM(C$6:I$6),"",INDEX(B$10:B$29,AA12))&amp;IF(R12="","",";OVT")&amp;IF(S12="","",";Pay OVT Addition")</f>
        <v>NOR/400748/000T001</v>
      </c>
      <c r="W12" s="11">
        <f t="shared" si="3"/>
        <v>0.66666666666666663</v>
      </c>
      <c r="X12" s="7">
        <v>3</v>
      </c>
      <c r="Y12" s="7">
        <f t="shared" si="4"/>
        <v>3</v>
      </c>
      <c r="Z12" s="7">
        <f t="shared" si="5"/>
        <v>1</v>
      </c>
      <c r="AA12" s="7">
        <f t="shared" si="6"/>
        <v>1</v>
      </c>
      <c r="AB12" s="8" cm="1">
        <f t="array" ref="AB12">IF(X12&gt;SUM(C$6:I$6),"",INDEX(C$10:I$29,AA12,Y12))</f>
        <v>7.5</v>
      </c>
      <c r="AC12" s="13" t="b">
        <f>IF(X12&gt;SUM(C$6:I$6),"",AND(SUMIF(Y$10:Y12,Y12,AB$10:AB12)-AB12&lt;4,SUMIF(Y$10:Y12,Y12,AB$10:AB12)&gt;=4))</f>
        <v>1</v>
      </c>
      <c r="AD12" s="13" t="b">
        <f t="shared" si="7"/>
        <v>1</v>
      </c>
      <c r="AE12" s="13" t="b">
        <f t="shared" si="8"/>
        <v>0</v>
      </c>
    </row>
    <row r="13" spans="1:31" x14ac:dyDescent="0.25">
      <c r="A13" s="6" t="s">
        <v>36</v>
      </c>
      <c r="B13" s="6" t="s">
        <v>35</v>
      </c>
      <c r="C13" s="18"/>
      <c r="D13" s="18"/>
      <c r="E13" s="18"/>
      <c r="F13" s="18"/>
      <c r="G13" s="18"/>
      <c r="H13" s="18"/>
      <c r="I13" s="18"/>
      <c r="J13" s="7">
        <f>IF(C13&gt;0,COUNT(C$10:C13),0)</f>
        <v>0</v>
      </c>
      <c r="K13" s="7">
        <f>IF(D13&gt;0,COUNT(D$10:D13),0)</f>
        <v>0</v>
      </c>
      <c r="L13" s="7">
        <f>IF(E13&gt;0,COUNT(E$10:E13),0)</f>
        <v>0</v>
      </c>
      <c r="M13" s="7">
        <f>IF(F13&gt;0,COUNT(F$10:F13),0)</f>
        <v>0</v>
      </c>
      <c r="N13" s="7">
        <f>IF(G13&gt;0,COUNT(G$10:G13),0)</f>
        <v>0</v>
      </c>
      <c r="O13" s="7">
        <f>IF(H13&gt;0,COUNT(H$10:H13),0)</f>
        <v>0</v>
      </c>
      <c r="P13" s="7">
        <f>IF(I13&gt;0,COUNT(I$10:I13),0)</f>
        <v>0</v>
      </c>
      <c r="R13" s="12"/>
      <c r="S13" s="12"/>
      <c r="T13" s="10" cm="1">
        <f t="array" ref="T13">IF(OR(X13&gt;SUM(C$6:I$6),Y12=Y13),"",INDEX(C$8:I$8,Y13))</f>
        <v>44686</v>
      </c>
      <c r="U13" s="11" cm="1">
        <f t="array" ref="U13">IF(X13&gt;SUM(C$6:I$6),"",IF(Z13=1,INDEX(C$5:I$5,Y13),U12+AB12/24+IF(AC12,0.5/24,0)+IF(AD12,8/(60*24),0)))</f>
        <v>0.32777777777777778</v>
      </c>
      <c r="V13" s="7" t="str" cm="1">
        <f t="array" ref="V13">IF(X13&gt;SUM(C$6:I$6),"",INDEX(B$10:B$29,AA13))&amp;IF(R13="","",";OVT")&amp;IF(S13="","",";Pay OVT Addition")</f>
        <v>NOR/400748/000T001</v>
      </c>
      <c r="W13" s="11">
        <f t="shared" si="3"/>
        <v>0.66666666666666663</v>
      </c>
      <c r="X13" s="7">
        <v>4</v>
      </c>
      <c r="Y13" s="7">
        <f t="shared" si="4"/>
        <v>4</v>
      </c>
      <c r="Z13" s="7">
        <f t="shared" si="5"/>
        <v>1</v>
      </c>
      <c r="AA13" s="7">
        <f t="shared" si="6"/>
        <v>1</v>
      </c>
      <c r="AB13" s="8" cm="1">
        <f t="array" ref="AB13">IF(X13&gt;SUM(C$6:I$6),"",INDEX(C$10:I$29,AA13,Y13))</f>
        <v>7.5</v>
      </c>
      <c r="AC13" s="13" t="b">
        <f>IF(X13&gt;SUM(C$6:I$6),"",AND(SUMIF(Y$10:Y13,Y13,AB$10:AB13)-AB13&lt;4,SUMIF(Y$10:Y13,Y13,AB$10:AB13)&gt;=4))</f>
        <v>1</v>
      </c>
      <c r="AD13" s="13" t="b">
        <f t="shared" si="7"/>
        <v>1</v>
      </c>
      <c r="AE13" s="13" t="b">
        <f t="shared" si="8"/>
        <v>0</v>
      </c>
    </row>
    <row r="14" spans="1:31" x14ac:dyDescent="0.25">
      <c r="A14" s="6" t="s">
        <v>37</v>
      </c>
      <c r="B14" s="6" t="s">
        <v>38</v>
      </c>
      <c r="C14" s="18"/>
      <c r="D14" s="18"/>
      <c r="E14" s="18"/>
      <c r="F14" s="18"/>
      <c r="G14" s="18"/>
      <c r="H14" s="18"/>
      <c r="I14" s="18"/>
      <c r="J14" s="7">
        <f>IF(C14&gt;0,COUNT(C$10:C14),0)</f>
        <v>0</v>
      </c>
      <c r="K14" s="7">
        <f>IF(D14&gt;0,COUNT(D$10:D14),0)</f>
        <v>0</v>
      </c>
      <c r="L14" s="7">
        <f>IF(E14&gt;0,COUNT(E$10:E14),0)</f>
        <v>0</v>
      </c>
      <c r="M14" s="7">
        <f>IF(F14&gt;0,COUNT(F$10:F14),0)</f>
        <v>0</v>
      </c>
      <c r="N14" s="7">
        <f>IF(G14&gt;0,COUNT(G$10:G14),0)</f>
        <v>0</v>
      </c>
      <c r="O14" s="7">
        <f>IF(H14&gt;0,COUNT(H$10:H14),0)</f>
        <v>0</v>
      </c>
      <c r="P14" s="7">
        <f>IF(I14&gt;0,COUNT(I$10:I14),0)</f>
        <v>0</v>
      </c>
      <c r="R14" s="12"/>
      <c r="S14" s="12"/>
      <c r="T14" s="10" cm="1">
        <f t="array" ref="T14">IF(OR(X14&gt;SUM(C$6:I$6),Y13=Y14),"",INDEX(C$8:I$8,Y14))</f>
        <v>44687</v>
      </c>
      <c r="U14" s="11" cm="1">
        <f t="array" ref="U14">IF(X14&gt;SUM(C$6:I$6),"",IF(Z14=1,INDEX(C$5:I$5,Y14),U13+AB13/24+IF(AC13,0.5/24,0)+IF(AD13,8/(60*24),0)))</f>
        <v>0.32777777777777778</v>
      </c>
      <c r="V14" s="7" t="str" cm="1">
        <f t="array" ref="V14">IF(X14&gt;SUM(C$6:I$6),"",INDEX(B$10:B$29,AA14))&amp;IF(R14="","",";OVT")&amp;IF(S14="","",";Pay OVT Addition")</f>
        <v>NOR/400748/000T001</v>
      </c>
      <c r="W14" s="11">
        <f t="shared" si="3"/>
        <v>0.66666666666666663</v>
      </c>
      <c r="X14" s="7">
        <v>5</v>
      </c>
      <c r="Y14" s="7">
        <f t="shared" si="4"/>
        <v>5</v>
      </c>
      <c r="Z14" s="7">
        <f t="shared" si="5"/>
        <v>1</v>
      </c>
      <c r="AA14" s="7">
        <f t="shared" si="6"/>
        <v>1</v>
      </c>
      <c r="AB14" s="8" cm="1">
        <f t="array" ref="AB14">IF(X14&gt;SUM(C$6:I$6),"",INDEX(C$10:I$29,AA14,Y14))</f>
        <v>7.5</v>
      </c>
      <c r="AC14" s="13" t="b">
        <f>IF(X14&gt;SUM(C$6:I$6),"",AND(SUMIF(Y$10:Y14,Y14,AB$10:AB14)-AB14&lt;4,SUMIF(Y$10:Y14,Y14,AB$10:AB14)&gt;=4))</f>
        <v>1</v>
      </c>
      <c r="AD14" s="13" t="b">
        <f t="shared" si="7"/>
        <v>1</v>
      </c>
      <c r="AE14" s="13" t="b">
        <f t="shared" si="8"/>
        <v>0</v>
      </c>
    </row>
    <row r="15" spans="1:31" x14ac:dyDescent="0.25">
      <c r="A15" s="6" t="s">
        <v>42</v>
      </c>
      <c r="B15" s="6" t="s">
        <v>42</v>
      </c>
      <c r="C15" s="18"/>
      <c r="D15" s="18"/>
      <c r="E15" s="18"/>
      <c r="F15" s="18"/>
      <c r="G15" s="18"/>
      <c r="H15" s="18"/>
      <c r="I15" s="18"/>
      <c r="J15" s="7">
        <f>IF(C15&gt;0,COUNT(C$10:C15),0)</f>
        <v>0</v>
      </c>
      <c r="K15" s="7">
        <f>IF(D15&gt;0,COUNT(D$10:D15),0)</f>
        <v>0</v>
      </c>
      <c r="L15" s="7">
        <f>IF(E15&gt;0,COUNT(E$10:E15),0)</f>
        <v>0</v>
      </c>
      <c r="M15" s="7">
        <f>IF(F15&gt;0,COUNT(F$10:F15),0)</f>
        <v>0</v>
      </c>
      <c r="N15" s="7">
        <f>IF(G15&gt;0,COUNT(G$10:G15),0)</f>
        <v>0</v>
      </c>
      <c r="O15" s="7">
        <f>IF(H15&gt;0,COUNT(H$10:H15),0)</f>
        <v>0</v>
      </c>
      <c r="P15" s="7">
        <f>IF(I15&gt;0,COUNT(I$10:I15),0)</f>
        <v>0</v>
      </c>
      <c r="R15" s="12"/>
      <c r="S15" s="12"/>
      <c r="T15" s="10" t="str" cm="1">
        <f t="array" ref="T15">IF(OR(X15&gt;SUM(C$6:I$6),Y14=Y15),"",INDEX(C$8:I$8,Y15))</f>
        <v/>
      </c>
      <c r="U15" s="11" t="str" cm="1">
        <f t="array" ref="U15">IF(X15&gt;SUM(C$6:I$6),"",IF(Z15=1,INDEX(C$5:I$5,Y15),U14+AB14/24+IF(AC14,0.5/24,0)+IF(AD14,8/(60*24),0)))</f>
        <v/>
      </c>
      <c r="V15" s="7" t="str" cm="1">
        <f t="array" ref="V15">IF(X15&gt;SUM(C$6:I$6),"",INDEX(B$10:B$29,AA15))&amp;IF(R15="","",";OVT")&amp;IF(S15="","",";Pay OVT Addition")</f>
        <v/>
      </c>
      <c r="W15" s="11" t="str">
        <f t="shared" si="3"/>
        <v/>
      </c>
      <c r="X15" s="7">
        <v>6</v>
      </c>
      <c r="Y15" s="7" t="str">
        <f t="shared" si="4"/>
        <v/>
      </c>
      <c r="Z15" s="7" t="str">
        <f t="shared" si="5"/>
        <v/>
      </c>
      <c r="AA15" s="7" t="str">
        <f t="shared" si="6"/>
        <v/>
      </c>
      <c r="AB15" s="8" t="str" cm="1">
        <f t="array" ref="AB15">IF(X15&gt;SUM(C$6:I$6),"",INDEX(C$10:I$29,AA15,Y15))</f>
        <v/>
      </c>
      <c r="AC15" s="13" t="str">
        <f>IF(X15&gt;SUM(C$6:I$6),"",AND(SUMIF(Y$10:Y15,Y15,AB$10:AB15)-AB15&lt;4,SUMIF(Y$10:Y15,Y15,AB$10:AB15)&gt;=4))</f>
        <v/>
      </c>
      <c r="AD15" s="13" t="str">
        <f t="shared" si="7"/>
        <v/>
      </c>
      <c r="AE15" s="13" t="str">
        <f t="shared" si="8"/>
        <v/>
      </c>
    </row>
    <row r="16" spans="1:31" x14ac:dyDescent="0.25">
      <c r="A16" s="6" t="s">
        <v>43</v>
      </c>
      <c r="B16" s="6" t="s">
        <v>43</v>
      </c>
      <c r="C16" s="18"/>
      <c r="D16" s="18"/>
      <c r="E16" s="18"/>
      <c r="F16" s="18"/>
      <c r="G16" s="18"/>
      <c r="H16" s="18"/>
      <c r="I16" s="18"/>
      <c r="J16" s="7">
        <f>IF(C16&gt;0,COUNT(C$10:C16),0)</f>
        <v>0</v>
      </c>
      <c r="K16" s="7">
        <f>IF(D16&gt;0,COUNT(D$10:D16),0)</f>
        <v>0</v>
      </c>
      <c r="L16" s="7">
        <f>IF(E16&gt;0,COUNT(E$10:E16),0)</f>
        <v>0</v>
      </c>
      <c r="M16" s="7">
        <f>IF(F16&gt;0,COUNT(F$10:F16),0)</f>
        <v>0</v>
      </c>
      <c r="N16" s="7">
        <f>IF(G16&gt;0,COUNT(G$10:G16),0)</f>
        <v>0</v>
      </c>
      <c r="O16" s="7">
        <f>IF(H16&gt;0,COUNT(H$10:H16),0)</f>
        <v>0</v>
      </c>
      <c r="P16" s="7">
        <f>IF(I16&gt;0,COUNT(I$10:I16),0)</f>
        <v>0</v>
      </c>
      <c r="R16" s="12"/>
      <c r="S16" s="12"/>
      <c r="T16" s="10" t="str" cm="1">
        <f t="array" ref="T16">IF(OR(X16&gt;SUM(C$6:I$6),Y15=Y16),"",INDEX(C$8:I$8,Y16))</f>
        <v/>
      </c>
      <c r="U16" s="11" t="str" cm="1">
        <f t="array" ref="U16">IF(X16&gt;SUM(C$6:I$6),"",IF(Z16=1,INDEX(C$5:I$5,Y16),U15+AB15/24+IF(AC15,0.5/24,0)+IF(AD15,8/(60*24),0)))</f>
        <v/>
      </c>
      <c r="V16" s="7" t="str" cm="1">
        <f t="array" ref="V16">IF(X16&gt;SUM(C$6:I$6),"",INDEX(B$10:B$29,AA16))&amp;IF(R16="","",";OVT")&amp;IF(S16="","",";Pay OVT Addition")</f>
        <v/>
      </c>
      <c r="W16" s="11" t="str">
        <f t="shared" si="3"/>
        <v/>
      </c>
      <c r="X16" s="7">
        <v>7</v>
      </c>
      <c r="Y16" s="7" t="str">
        <f t="shared" si="4"/>
        <v/>
      </c>
      <c r="Z16" s="7" t="str">
        <f t="shared" si="5"/>
        <v/>
      </c>
      <c r="AA16" s="7" t="str">
        <f t="shared" si="6"/>
        <v/>
      </c>
      <c r="AB16" s="8" t="str" cm="1">
        <f t="array" ref="AB16">IF(X16&gt;SUM(C$6:I$6),"",INDEX(C$10:I$29,AA16,Y16))</f>
        <v/>
      </c>
      <c r="AC16" s="13" t="str">
        <f>IF(X16&gt;SUM(C$6:I$6),"",AND(SUMIF(Y$10:Y16,Y16,AB$10:AB16)-AB16&lt;4,SUMIF(Y$10:Y16,Y16,AB$10:AB16)&gt;=4))</f>
        <v/>
      </c>
      <c r="AD16" s="13" t="str">
        <f t="shared" si="7"/>
        <v/>
      </c>
      <c r="AE16" s="13" t="str">
        <f t="shared" si="8"/>
        <v/>
      </c>
    </row>
    <row r="17" spans="1:31" x14ac:dyDescent="0.25">
      <c r="A17" s="6" t="s">
        <v>44</v>
      </c>
      <c r="B17" s="6" t="s">
        <v>44</v>
      </c>
      <c r="C17" s="18"/>
      <c r="D17" s="18"/>
      <c r="E17" s="18"/>
      <c r="F17" s="18"/>
      <c r="G17" s="18"/>
      <c r="H17" s="18"/>
      <c r="I17" s="18"/>
      <c r="J17" s="7">
        <f>IF(C17&gt;0,COUNT(C$10:C17),0)</f>
        <v>0</v>
      </c>
      <c r="K17" s="7">
        <f>IF(D17&gt;0,COUNT(D$10:D17),0)</f>
        <v>0</v>
      </c>
      <c r="L17" s="7">
        <f>IF(E17&gt;0,COUNT(E$10:E17),0)</f>
        <v>0</v>
      </c>
      <c r="M17" s="7">
        <f>IF(F17&gt;0,COUNT(F$10:F17),0)</f>
        <v>0</v>
      </c>
      <c r="N17" s="7">
        <f>IF(G17&gt;0,COUNT(G$10:G17),0)</f>
        <v>0</v>
      </c>
      <c r="O17" s="7">
        <f>IF(H17&gt;0,COUNT(H$10:H17),0)</f>
        <v>0</v>
      </c>
      <c r="P17" s="7">
        <f>IF(I17&gt;0,COUNT(I$10:I17),0)</f>
        <v>0</v>
      </c>
      <c r="R17" s="12"/>
      <c r="S17" s="12"/>
      <c r="T17" s="10" t="str" cm="1">
        <f t="array" ref="T17">IF(OR(X17&gt;SUM(C$6:I$6),Y16=Y17),"",INDEX(C$8:I$8,Y17))</f>
        <v/>
      </c>
      <c r="U17" s="11" t="str" cm="1">
        <f t="array" ref="U17">IF(X17&gt;SUM(C$6:I$6),"",IF(Z17=1,INDEX(C$5:I$5,Y17),U16+AB16/24+IF(AC16,0.5/24,0)+IF(AD16,8/(60*24),0)))</f>
        <v/>
      </c>
      <c r="V17" s="7" t="str" cm="1">
        <f t="array" ref="V17">IF(X17&gt;SUM(C$6:I$6),"",INDEX(B$10:B$29,AA17))&amp;IF(R17="","",";OVT")&amp;IF(S17="","",";Pay OVT Addition")</f>
        <v/>
      </c>
      <c r="W17" s="11" t="str">
        <f t="shared" si="3"/>
        <v/>
      </c>
      <c r="X17" s="7">
        <v>8</v>
      </c>
      <c r="Y17" s="7" t="str">
        <f t="shared" si="4"/>
        <v/>
      </c>
      <c r="Z17" s="7" t="str">
        <f t="shared" si="5"/>
        <v/>
      </c>
      <c r="AA17" s="7" t="str">
        <f t="shared" si="6"/>
        <v/>
      </c>
      <c r="AB17" s="8" t="str" cm="1">
        <f t="array" ref="AB17">IF(X17&gt;SUM(C$6:I$6),"",INDEX(C$10:I$29,AA17,Y17))</f>
        <v/>
      </c>
      <c r="AC17" s="13" t="str">
        <f>IF(X17&gt;SUM(C$6:I$6),"",AND(SUMIF(Y$10:Y17,Y17,AB$10:AB17)-AB17&lt;4,SUMIF(Y$10:Y17,Y17,AB$10:AB17)&gt;=4))</f>
        <v/>
      </c>
      <c r="AD17" s="13" t="str">
        <f t="shared" si="7"/>
        <v/>
      </c>
      <c r="AE17" s="13" t="str">
        <f t="shared" si="8"/>
        <v/>
      </c>
    </row>
    <row r="18" spans="1:31" x14ac:dyDescent="0.25">
      <c r="A18" s="6"/>
      <c r="B18" s="6"/>
      <c r="C18" s="18"/>
      <c r="D18" s="18"/>
      <c r="E18" s="18"/>
      <c r="F18" s="18"/>
      <c r="G18" s="18"/>
      <c r="H18" s="18"/>
      <c r="I18" s="18"/>
      <c r="J18" s="7">
        <f>IF(C18&gt;0,COUNT(C$10:C18),0)</f>
        <v>0</v>
      </c>
      <c r="K18" s="7">
        <f>IF(D18&gt;0,COUNT(D$10:D18),0)</f>
        <v>0</v>
      </c>
      <c r="L18" s="7">
        <f>IF(E18&gt;0,COUNT(E$10:E18),0)</f>
        <v>0</v>
      </c>
      <c r="M18" s="7">
        <f>IF(F18&gt;0,COUNT(F$10:F18),0)</f>
        <v>0</v>
      </c>
      <c r="N18" s="7">
        <f>IF(G18&gt;0,COUNT(G$10:G18),0)</f>
        <v>0</v>
      </c>
      <c r="O18" s="7">
        <f>IF(H18&gt;0,COUNT(H$10:H18),0)</f>
        <v>0</v>
      </c>
      <c r="P18" s="7">
        <f>IF(I18&gt;0,COUNT(I$10:I18),0)</f>
        <v>0</v>
      </c>
      <c r="R18" s="12"/>
      <c r="S18" s="12"/>
      <c r="T18" s="10" t="str" cm="1">
        <f t="array" ref="T18">IF(OR(X18&gt;SUM(C$6:I$6),Y17=Y18),"",INDEX(C$8:I$8,Y18))</f>
        <v/>
      </c>
      <c r="U18" s="11" t="str" cm="1">
        <f t="array" ref="U18">IF(X18&gt;SUM(C$6:I$6),"",IF(Z18=1,INDEX(C$5:I$5,Y18),U17+AB17/24+IF(AC17,0.5/24,0)+IF(AD17,8/(60*24),0)))</f>
        <v/>
      </c>
      <c r="V18" s="7" t="str" cm="1">
        <f t="array" ref="V18">IF(X18&gt;SUM(C$6:I$6),"",INDEX(B$10:B$29,AA18))&amp;IF(R18="","",";OVT")&amp;IF(S18="","",";Pay OVT Addition")</f>
        <v/>
      </c>
      <c r="W18" s="11" t="str">
        <f t="shared" si="3"/>
        <v/>
      </c>
      <c r="X18" s="7">
        <v>9</v>
      </c>
      <c r="Y18" s="7" t="str">
        <f t="shared" si="4"/>
        <v/>
      </c>
      <c r="Z18" s="7" t="str">
        <f t="shared" si="5"/>
        <v/>
      </c>
      <c r="AA18" s="7" t="str">
        <f t="shared" si="6"/>
        <v/>
      </c>
      <c r="AB18" s="8" t="str" cm="1">
        <f t="array" ref="AB18">IF(X18&gt;SUM(C$6:I$6),"",INDEX(C$10:I$29,AA18,Y18))</f>
        <v/>
      </c>
      <c r="AC18" s="13" t="str">
        <f>IF(X18&gt;SUM(C$6:I$6),"",AND(SUMIF(Y$10:Y18,Y18,AB$10:AB18)-AB18&lt;4,SUMIF(Y$10:Y18,Y18,AB$10:AB18)&gt;=4))</f>
        <v/>
      </c>
      <c r="AD18" s="13" t="str">
        <f t="shared" si="7"/>
        <v/>
      </c>
      <c r="AE18" s="13" t="str">
        <f t="shared" si="8"/>
        <v/>
      </c>
    </row>
    <row r="19" spans="1:31" x14ac:dyDescent="0.25">
      <c r="A19" s="6"/>
      <c r="B19" s="6"/>
      <c r="C19" s="18"/>
      <c r="D19" s="18"/>
      <c r="E19" s="18"/>
      <c r="F19" s="18"/>
      <c r="G19" s="18"/>
      <c r="H19" s="18"/>
      <c r="I19" s="18"/>
      <c r="J19" s="7">
        <f>IF(C19&gt;0,COUNT(C$10:C19),0)</f>
        <v>0</v>
      </c>
      <c r="K19" s="7">
        <f>IF(D19&gt;0,COUNT(D$10:D19),0)</f>
        <v>0</v>
      </c>
      <c r="L19" s="7">
        <f>IF(E19&gt;0,COUNT(E$10:E19),0)</f>
        <v>0</v>
      </c>
      <c r="M19" s="7">
        <f>IF(F19&gt;0,COUNT(F$10:F19),0)</f>
        <v>0</v>
      </c>
      <c r="N19" s="7">
        <f>IF(G19&gt;0,COUNT(G$10:G19),0)</f>
        <v>0</v>
      </c>
      <c r="O19" s="7">
        <f>IF(H19&gt;0,COUNT(H$10:H19),0)</f>
        <v>0</v>
      </c>
      <c r="P19" s="7">
        <f>IF(I19&gt;0,COUNT(I$10:I19),0)</f>
        <v>0</v>
      </c>
      <c r="R19" s="12"/>
      <c r="S19" s="12"/>
      <c r="T19" s="10" t="str" cm="1">
        <f t="array" ref="T19">IF(OR(X19&gt;SUM(C$6:I$6),Y18=Y19),"",INDEX(C$8:I$8,Y19))</f>
        <v/>
      </c>
      <c r="U19" s="11" t="str" cm="1">
        <f t="array" ref="U19">IF(X19&gt;SUM(C$6:I$6),"",IF(Z19=1,INDEX(C$5:I$5,Y19),U18+AB18/24+IF(AC18,0.5/24,0)+IF(AD18,8/(60*24),0)))</f>
        <v/>
      </c>
      <c r="V19" s="7" t="str" cm="1">
        <f t="array" ref="V19">IF(X19&gt;SUM(C$6:I$6),"",INDEX(B$10:B$29,AA19))&amp;IF(R19="","",";OVT")&amp;IF(S19="","",";Pay OVT Addition")</f>
        <v/>
      </c>
      <c r="W19" s="11" t="str">
        <f t="shared" si="3"/>
        <v/>
      </c>
      <c r="X19" s="7">
        <v>10</v>
      </c>
      <c r="Y19" s="7" t="str">
        <f t="shared" si="4"/>
        <v/>
      </c>
      <c r="Z19" s="7" t="str">
        <f t="shared" si="5"/>
        <v/>
      </c>
      <c r="AA19" s="7" t="str">
        <f t="shared" si="6"/>
        <v/>
      </c>
      <c r="AB19" s="8" t="str" cm="1">
        <f t="array" ref="AB19">IF(X19&gt;SUM(C$6:I$6),"",INDEX(C$10:I$29,AA19,Y19))</f>
        <v/>
      </c>
      <c r="AC19" s="13" t="str">
        <f>IF(X19&gt;SUM(C$6:I$6),"",AND(SUMIF(Y$10:Y19,Y19,AB$10:AB19)-AB19&lt;4,SUMIF(Y$10:Y19,Y19,AB$10:AB19)&gt;=4))</f>
        <v/>
      </c>
      <c r="AD19" s="13" t="str">
        <f t="shared" si="7"/>
        <v/>
      </c>
      <c r="AE19" s="13" t="str">
        <f t="shared" si="8"/>
        <v/>
      </c>
    </row>
    <row r="20" spans="1:31" x14ac:dyDescent="0.25">
      <c r="A20" s="6"/>
      <c r="B20" s="6"/>
      <c r="C20" s="18"/>
      <c r="D20" s="18"/>
      <c r="E20" s="18"/>
      <c r="F20" s="18"/>
      <c r="G20" s="18"/>
      <c r="H20" s="18"/>
      <c r="I20" s="18"/>
      <c r="J20" s="7">
        <f>IF(C20&gt;0,COUNT(C$10:C20),0)</f>
        <v>0</v>
      </c>
      <c r="K20" s="7">
        <f>IF(D20&gt;0,COUNT(D$10:D20),0)</f>
        <v>0</v>
      </c>
      <c r="L20" s="7">
        <f>IF(E20&gt;0,COUNT(E$10:E20),0)</f>
        <v>0</v>
      </c>
      <c r="M20" s="7">
        <f>IF(F20&gt;0,COUNT(F$10:F20),0)</f>
        <v>0</v>
      </c>
      <c r="N20" s="7">
        <f>IF(G20&gt;0,COUNT(G$10:G20),0)</f>
        <v>0</v>
      </c>
      <c r="O20" s="7">
        <f>IF(H20&gt;0,COUNT(H$10:H20),0)</f>
        <v>0</v>
      </c>
      <c r="P20" s="7">
        <f>IF(I20&gt;0,COUNT(I$10:I20),0)</f>
        <v>0</v>
      </c>
      <c r="R20" s="12"/>
      <c r="S20" s="12"/>
      <c r="T20" s="10" t="str" cm="1">
        <f t="array" ref="T20">IF(OR(X20&gt;SUM(C$6:I$6),Y19=Y20),"",INDEX(C$8:I$8,Y20))</f>
        <v/>
      </c>
      <c r="U20" s="11" t="str" cm="1">
        <f t="array" ref="U20">IF(X20&gt;SUM(C$6:I$6),"",IF(Z20=1,INDEX(C$5:I$5,Y20),U19+AB19/24+IF(AC19,0.5/24,0)+IF(AD19,8/(60*24),0)))</f>
        <v/>
      </c>
      <c r="V20" s="7" t="str" cm="1">
        <f t="array" ref="V20">IF(X20&gt;SUM(C$6:I$6),"",INDEX(B$10:B$29,AA20))&amp;IF(R20="","",";OVT")&amp;IF(S20="","",";Pay OVT Addition")</f>
        <v/>
      </c>
      <c r="W20" s="11" t="str">
        <f t="shared" si="3"/>
        <v/>
      </c>
      <c r="X20" s="7">
        <v>11</v>
      </c>
      <c r="Y20" s="7" t="str">
        <f t="shared" si="4"/>
        <v/>
      </c>
      <c r="Z20" s="7" t="str">
        <f t="shared" si="5"/>
        <v/>
      </c>
      <c r="AA20" s="7" t="str">
        <f t="shared" si="6"/>
        <v/>
      </c>
      <c r="AB20" s="8" t="str" cm="1">
        <f t="array" ref="AB20">IF(X20&gt;SUM(C$6:I$6),"",INDEX(C$10:I$29,AA20,Y20))</f>
        <v/>
      </c>
      <c r="AC20" s="13" t="str">
        <f>IF(X20&gt;SUM(C$6:I$6),"",AND(SUMIF(Y$10:Y20,Y20,AB$10:AB20)-AB20&lt;4,SUMIF(Y$10:Y20,Y20,AB$10:AB20)&gt;=4))</f>
        <v/>
      </c>
      <c r="AD20" s="13" t="str">
        <f t="shared" si="7"/>
        <v/>
      </c>
      <c r="AE20" s="13" t="str">
        <f t="shared" si="8"/>
        <v/>
      </c>
    </row>
    <row r="21" spans="1:31" x14ac:dyDescent="0.25">
      <c r="A21" s="6"/>
      <c r="B21" s="6"/>
      <c r="C21" s="18"/>
      <c r="D21" s="18"/>
      <c r="E21" s="18"/>
      <c r="F21" s="18"/>
      <c r="G21" s="18"/>
      <c r="H21" s="18"/>
      <c r="I21" s="18"/>
      <c r="J21" s="7">
        <f>IF(C21&gt;0,COUNT(C$10:C21),0)</f>
        <v>0</v>
      </c>
      <c r="K21" s="7">
        <f>IF(D21&gt;0,COUNT(D$10:D21),0)</f>
        <v>0</v>
      </c>
      <c r="L21" s="7">
        <f>IF(E21&gt;0,COUNT(E$10:E21),0)</f>
        <v>0</v>
      </c>
      <c r="M21" s="7">
        <f>IF(F21&gt;0,COUNT(F$10:F21),0)</f>
        <v>0</v>
      </c>
      <c r="N21" s="7">
        <f>IF(G21&gt;0,COUNT(G$10:G21),0)</f>
        <v>0</v>
      </c>
      <c r="O21" s="7">
        <f>IF(H21&gt;0,COUNT(H$10:H21),0)</f>
        <v>0</v>
      </c>
      <c r="P21" s="7">
        <f>IF(I21&gt;0,COUNT(I$10:I21),0)</f>
        <v>0</v>
      </c>
      <c r="R21" s="12"/>
      <c r="S21" s="12"/>
      <c r="T21" s="10" t="str" cm="1">
        <f t="array" ref="T21">IF(OR(X21&gt;SUM(C$6:I$6),Y20=Y21),"",INDEX(C$8:I$8,Y21))</f>
        <v/>
      </c>
      <c r="U21" s="11" t="str" cm="1">
        <f t="array" ref="U21">IF(X21&gt;SUM(C$6:I$6),"",IF(Z21=1,INDEX(C$5:I$5,Y21),U20+AB20/24+IF(AC20,0.5/24,0)+IF(AD20,8/(60*24),0)))</f>
        <v/>
      </c>
      <c r="V21" s="7" t="str" cm="1">
        <f t="array" ref="V21">IF(X21&gt;SUM(C$6:I$6),"",INDEX(B$10:B$29,AA21))&amp;IF(R21="","",";OVT")&amp;IF(S21="","",";Pay OVT Addition")</f>
        <v/>
      </c>
      <c r="W21" s="11" t="str">
        <f t="shared" si="3"/>
        <v/>
      </c>
      <c r="X21" s="7">
        <v>12</v>
      </c>
      <c r="Y21" s="7" t="str">
        <f t="shared" si="4"/>
        <v/>
      </c>
      <c r="Z21" s="7" t="str">
        <f t="shared" si="5"/>
        <v/>
      </c>
      <c r="AA21" s="7" t="str">
        <f t="shared" si="6"/>
        <v/>
      </c>
      <c r="AB21" s="8" t="str" cm="1">
        <f t="array" ref="AB21">IF(X21&gt;SUM(C$6:I$6),"",INDEX(C$10:I$29,AA21,Y21))</f>
        <v/>
      </c>
      <c r="AC21" s="13" t="str">
        <f>IF(X21&gt;SUM(C$6:I$6),"",AND(SUMIF(Y$10:Y21,Y21,AB$10:AB21)-AB21&lt;4,SUMIF(Y$10:Y21,Y21,AB$10:AB21)&gt;=4))</f>
        <v/>
      </c>
      <c r="AD21" s="13" t="str">
        <f t="shared" si="7"/>
        <v/>
      </c>
      <c r="AE21" s="13" t="str">
        <f t="shared" si="8"/>
        <v/>
      </c>
    </row>
    <row r="22" spans="1:31" x14ac:dyDescent="0.25">
      <c r="A22" s="6"/>
      <c r="B22" s="6"/>
      <c r="C22" s="18"/>
      <c r="D22" s="18"/>
      <c r="E22" s="18"/>
      <c r="F22" s="18"/>
      <c r="G22" s="18"/>
      <c r="H22" s="18"/>
      <c r="I22" s="18"/>
      <c r="J22" s="7">
        <f>IF(C22&gt;0,COUNT(C$10:C22),0)</f>
        <v>0</v>
      </c>
      <c r="K22" s="7">
        <f>IF(D22&gt;0,COUNT(D$10:D22),0)</f>
        <v>0</v>
      </c>
      <c r="L22" s="7">
        <f>IF(E22&gt;0,COUNT(E$10:E22),0)</f>
        <v>0</v>
      </c>
      <c r="M22" s="7">
        <f>IF(F22&gt;0,COUNT(F$10:F22),0)</f>
        <v>0</v>
      </c>
      <c r="N22" s="7">
        <f>IF(G22&gt;0,COUNT(G$10:G22),0)</f>
        <v>0</v>
      </c>
      <c r="O22" s="7">
        <f>IF(H22&gt;0,COUNT(H$10:H22),0)</f>
        <v>0</v>
      </c>
      <c r="P22" s="7">
        <f>IF(I22&gt;0,COUNT(I$10:I22),0)</f>
        <v>0</v>
      </c>
      <c r="R22" s="12"/>
      <c r="S22" s="12"/>
      <c r="T22" s="10" t="str" cm="1">
        <f t="array" ref="T22">IF(OR(X22&gt;SUM(C$6:I$6),Y21=Y22),"",INDEX(C$8:I$8,Y22))</f>
        <v/>
      </c>
      <c r="U22" s="11" t="str" cm="1">
        <f t="array" ref="U22">IF(X22&gt;SUM(C$6:I$6),"",IF(Z22=1,INDEX(C$5:I$5,Y22),U21+AB21/24+IF(AC21,0.5/24,0)+IF(AD21,8/(60*24),0)))</f>
        <v/>
      </c>
      <c r="V22" s="7" t="str" cm="1">
        <f t="array" ref="V22">IF(X22&gt;SUM(C$6:I$6),"",INDEX(B$10:B$29,AA22))&amp;IF(R22="","",";OVT")&amp;IF(S22="","",";Pay OVT Addition")</f>
        <v/>
      </c>
      <c r="W22" s="11" t="str">
        <f t="shared" si="3"/>
        <v/>
      </c>
      <c r="X22" s="7">
        <v>13</v>
      </c>
      <c r="Y22" s="7" t="str">
        <f t="shared" si="4"/>
        <v/>
      </c>
      <c r="Z22" s="7" t="str">
        <f t="shared" si="5"/>
        <v/>
      </c>
      <c r="AA22" s="7" t="str">
        <f t="shared" si="6"/>
        <v/>
      </c>
      <c r="AB22" s="8" t="str" cm="1">
        <f t="array" ref="AB22">IF(X22&gt;SUM(C$6:I$6),"",INDEX(C$10:I$29,AA22,Y22))</f>
        <v/>
      </c>
      <c r="AC22" s="13" t="str">
        <f>IF(X22&gt;SUM(C$6:I$6),"",AND(SUMIF(Y$10:Y22,Y22,AB$10:AB22)-AB22&lt;4,SUMIF(Y$10:Y22,Y22,AB$10:AB22)&gt;=4))</f>
        <v/>
      </c>
      <c r="AD22" s="13" t="str">
        <f t="shared" si="7"/>
        <v/>
      </c>
      <c r="AE22" s="13" t="str">
        <f t="shared" si="8"/>
        <v/>
      </c>
    </row>
    <row r="23" spans="1:31" x14ac:dyDescent="0.25">
      <c r="A23" s="6"/>
      <c r="B23" s="6"/>
      <c r="C23" s="18"/>
      <c r="D23" s="18"/>
      <c r="E23" s="18"/>
      <c r="F23" s="18"/>
      <c r="G23" s="18"/>
      <c r="H23" s="18"/>
      <c r="I23" s="18"/>
      <c r="J23" s="7">
        <f>IF(C23&gt;0,COUNT(C$10:C23),0)</f>
        <v>0</v>
      </c>
      <c r="K23" s="7">
        <f>IF(D23&gt;0,COUNT(D$10:D23),0)</f>
        <v>0</v>
      </c>
      <c r="L23" s="7">
        <f>IF(E23&gt;0,COUNT(E$10:E23),0)</f>
        <v>0</v>
      </c>
      <c r="M23" s="7">
        <f>IF(F23&gt;0,COUNT(F$10:F23),0)</f>
        <v>0</v>
      </c>
      <c r="N23" s="7">
        <f>IF(G23&gt;0,COUNT(G$10:G23),0)</f>
        <v>0</v>
      </c>
      <c r="O23" s="7">
        <f>IF(H23&gt;0,COUNT(H$10:H23),0)</f>
        <v>0</v>
      </c>
      <c r="P23" s="7">
        <f>IF(I23&gt;0,COUNT(I$10:I23),0)</f>
        <v>0</v>
      </c>
      <c r="R23" s="12"/>
      <c r="S23" s="12"/>
      <c r="T23" s="10" t="str" cm="1">
        <f t="array" ref="T23">IF(OR(X23&gt;SUM(C$6:I$6),Y22=Y23),"",INDEX(C$8:I$8,Y23))</f>
        <v/>
      </c>
      <c r="U23" s="11" t="str" cm="1">
        <f t="array" ref="U23">IF(X23&gt;SUM(C$6:I$6),"",IF(Z23=1,INDEX(C$5:I$5,Y23),U22+AB22/24+IF(AC22,0.5/24,0)+IF(AD22,8/(60*24),0)))</f>
        <v/>
      </c>
      <c r="V23" s="7" t="str" cm="1">
        <f t="array" ref="V23">IF(X23&gt;SUM(C$6:I$6),"",INDEX(B$10:B$29,AA23))&amp;IF(R23="","",";OVT")&amp;IF(S23="","",";Pay OVT Addition")</f>
        <v/>
      </c>
      <c r="W23" s="11" t="str">
        <f t="shared" si="3"/>
        <v/>
      </c>
      <c r="X23" s="7">
        <v>14</v>
      </c>
      <c r="Y23" s="7" t="str">
        <f t="shared" si="4"/>
        <v/>
      </c>
      <c r="Z23" s="7" t="str">
        <f t="shared" si="5"/>
        <v/>
      </c>
      <c r="AA23" s="7" t="str">
        <f t="shared" si="6"/>
        <v/>
      </c>
      <c r="AB23" s="8" t="str" cm="1">
        <f t="array" ref="AB23">IF(X23&gt;SUM(C$6:I$6),"",INDEX(C$10:I$29,AA23,Y23))</f>
        <v/>
      </c>
      <c r="AC23" s="13" t="str">
        <f>IF(X23&gt;SUM(C$6:I$6),"",AND(SUMIF(Y$10:Y23,Y23,AB$10:AB23)-AB23&lt;4,SUMIF(Y$10:Y23,Y23,AB$10:AB23)&gt;=4))</f>
        <v/>
      </c>
      <c r="AD23" s="13" t="str">
        <f t="shared" si="7"/>
        <v/>
      </c>
      <c r="AE23" s="13" t="str">
        <f t="shared" si="8"/>
        <v/>
      </c>
    </row>
    <row r="24" spans="1:31" x14ac:dyDescent="0.25">
      <c r="A24" s="6"/>
      <c r="B24" s="6"/>
      <c r="C24" s="18"/>
      <c r="D24" s="18"/>
      <c r="E24" s="18"/>
      <c r="F24" s="18"/>
      <c r="G24" s="18"/>
      <c r="H24" s="18"/>
      <c r="I24" s="18"/>
      <c r="J24" s="7">
        <f>IF(C24&gt;0,COUNT(C$10:C24),0)</f>
        <v>0</v>
      </c>
      <c r="K24" s="7">
        <f>IF(D24&gt;0,COUNT(D$10:D24),0)</f>
        <v>0</v>
      </c>
      <c r="L24" s="7">
        <f>IF(E24&gt;0,COUNT(E$10:E24),0)</f>
        <v>0</v>
      </c>
      <c r="M24" s="7">
        <f>IF(F24&gt;0,COUNT(F$10:F24),0)</f>
        <v>0</v>
      </c>
      <c r="N24" s="7">
        <f>IF(G24&gt;0,COUNT(G$10:G24),0)</f>
        <v>0</v>
      </c>
      <c r="O24" s="7">
        <f>IF(H24&gt;0,COUNT(H$10:H24),0)</f>
        <v>0</v>
      </c>
      <c r="P24" s="7">
        <f>IF(I24&gt;0,COUNT(I$10:I24),0)</f>
        <v>0</v>
      </c>
      <c r="R24" s="12"/>
      <c r="S24" s="12"/>
      <c r="T24" s="10" t="str" cm="1">
        <f t="array" ref="T24">IF(OR(X24&gt;SUM(C$6:I$6),Y23=Y24),"",INDEX(C$8:I$8,Y24))</f>
        <v/>
      </c>
      <c r="U24" s="11" t="str" cm="1">
        <f t="array" ref="U24">IF(X24&gt;SUM(C$6:I$6),"",IF(Z24=1,INDEX(C$5:I$5,Y24),U23+AB23/24+IF(AC23,0.5/24,0)+IF(AD23,8/(60*24),0)))</f>
        <v/>
      </c>
      <c r="V24" s="7" t="str" cm="1">
        <f t="array" ref="V24">IF(X24&gt;SUM(C$6:I$6),"",INDEX(B$10:B$29,AA24))&amp;IF(R24="","",";OVT")&amp;IF(S24="","",";Pay OVT Addition")</f>
        <v/>
      </c>
      <c r="W24" s="11" t="str">
        <f t="shared" si="3"/>
        <v/>
      </c>
      <c r="X24" s="7">
        <v>15</v>
      </c>
      <c r="Y24" s="7" t="str">
        <f t="shared" si="4"/>
        <v/>
      </c>
      <c r="Z24" s="7" t="str">
        <f t="shared" si="5"/>
        <v/>
      </c>
      <c r="AA24" s="7" t="str">
        <f t="shared" si="6"/>
        <v/>
      </c>
      <c r="AB24" s="8" t="str" cm="1">
        <f t="array" ref="AB24">IF(X24&gt;SUM(C$6:I$6),"",INDEX(C$10:I$29,AA24,Y24))</f>
        <v/>
      </c>
      <c r="AC24" s="13" t="str">
        <f>IF(X24&gt;SUM(C$6:I$6),"",AND(SUMIF(Y$10:Y24,Y24,AB$10:AB24)-AB24&lt;4,SUMIF(Y$10:Y24,Y24,AB$10:AB24)&gt;=4))</f>
        <v/>
      </c>
      <c r="AD24" s="13" t="str">
        <f t="shared" si="7"/>
        <v/>
      </c>
      <c r="AE24" s="13" t="str">
        <f t="shared" si="8"/>
        <v/>
      </c>
    </row>
    <row r="25" spans="1:31" x14ac:dyDescent="0.25">
      <c r="A25" s="6"/>
      <c r="B25" s="6"/>
      <c r="C25" s="18"/>
      <c r="D25" s="18"/>
      <c r="E25" s="18"/>
      <c r="F25" s="18"/>
      <c r="G25" s="18"/>
      <c r="H25" s="18"/>
      <c r="I25" s="18"/>
      <c r="J25" s="7">
        <f>IF(C25&gt;0,COUNT(C$10:C25),0)</f>
        <v>0</v>
      </c>
      <c r="K25" s="7">
        <f>IF(D25&gt;0,COUNT(D$10:D25),0)</f>
        <v>0</v>
      </c>
      <c r="L25" s="7">
        <f>IF(E25&gt;0,COUNT(E$10:E25),0)</f>
        <v>0</v>
      </c>
      <c r="M25" s="7">
        <f>IF(F25&gt;0,COUNT(F$10:F25),0)</f>
        <v>0</v>
      </c>
      <c r="N25" s="7">
        <f>IF(G25&gt;0,COUNT(G$10:G25),0)</f>
        <v>0</v>
      </c>
      <c r="O25" s="7">
        <f>IF(H25&gt;0,COUNT(H$10:H25),0)</f>
        <v>0</v>
      </c>
      <c r="P25" s="7">
        <f>IF(I25&gt;0,COUNT(I$10:I25),0)</f>
        <v>0</v>
      </c>
      <c r="R25" s="12"/>
      <c r="S25" s="12"/>
      <c r="T25" s="10" t="str" cm="1">
        <f t="array" ref="T25">IF(OR(X25&gt;SUM(C$6:I$6),Y24=Y25),"",INDEX(C$8:I$8,Y25))</f>
        <v/>
      </c>
      <c r="U25" s="11" t="str" cm="1">
        <f t="array" ref="U25">IF(X25&gt;SUM(C$6:I$6),"",IF(Z25=1,INDEX(C$5:I$5,Y25),U24+AB24/24+IF(AC24,0.5/24,0)+IF(AD24,8/(60*24),0)))</f>
        <v/>
      </c>
      <c r="V25" s="7" t="str" cm="1">
        <f t="array" ref="V25">IF(X25&gt;SUM(C$6:I$6),"",INDEX(B$10:B$29,AA25))&amp;IF(R25="","",";OVT")&amp;IF(S25="","",";Pay OVT Addition")</f>
        <v/>
      </c>
      <c r="W25" s="11" t="str">
        <f t="shared" si="3"/>
        <v/>
      </c>
      <c r="X25" s="7">
        <v>16</v>
      </c>
      <c r="Y25" s="7" t="str">
        <f t="shared" si="4"/>
        <v/>
      </c>
      <c r="Z25" s="7" t="str">
        <f t="shared" si="5"/>
        <v/>
      </c>
      <c r="AA25" s="7" t="str">
        <f t="shared" si="6"/>
        <v/>
      </c>
      <c r="AB25" s="8" t="str" cm="1">
        <f t="array" ref="AB25">IF(X25&gt;SUM(C$6:I$6),"",INDEX(C$10:I$29,AA25,Y25))</f>
        <v/>
      </c>
      <c r="AC25" s="13" t="str">
        <f>IF(X25&gt;SUM(C$6:I$6),"",AND(SUMIF(Y$10:Y25,Y25,AB$10:AB25)-AB25&lt;4,SUMIF(Y$10:Y25,Y25,AB$10:AB25)&gt;=4))</f>
        <v/>
      </c>
      <c r="AD25" s="13" t="str">
        <f t="shared" si="7"/>
        <v/>
      </c>
      <c r="AE25" s="13" t="str">
        <f t="shared" si="8"/>
        <v/>
      </c>
    </row>
    <row r="26" spans="1:31" x14ac:dyDescent="0.25">
      <c r="A26" s="6"/>
      <c r="B26" s="6"/>
      <c r="C26" s="18"/>
      <c r="D26" s="18"/>
      <c r="E26" s="18"/>
      <c r="F26" s="18"/>
      <c r="G26" s="18"/>
      <c r="H26" s="18"/>
      <c r="I26" s="18"/>
      <c r="J26" s="7">
        <f>IF(C26&gt;0,COUNT(C$10:C26),0)</f>
        <v>0</v>
      </c>
      <c r="K26" s="7">
        <f>IF(D26&gt;0,COUNT(D$10:D26),0)</f>
        <v>0</v>
      </c>
      <c r="L26" s="7">
        <f>IF(E26&gt;0,COUNT(E$10:E26),0)</f>
        <v>0</v>
      </c>
      <c r="M26" s="7">
        <f>IF(F26&gt;0,COUNT(F$10:F26),0)</f>
        <v>0</v>
      </c>
      <c r="N26" s="7">
        <f>IF(G26&gt;0,COUNT(G$10:G26),0)</f>
        <v>0</v>
      </c>
      <c r="O26" s="7">
        <f>IF(H26&gt;0,COUNT(H$10:H26),0)</f>
        <v>0</v>
      </c>
      <c r="P26" s="7">
        <f>IF(I26&gt;0,COUNT(I$10:I26),0)</f>
        <v>0</v>
      </c>
      <c r="R26" s="12"/>
      <c r="S26" s="12"/>
      <c r="T26" s="10" t="str" cm="1">
        <f t="array" ref="T26">IF(OR(X26&gt;SUM(C$6:I$6),Y25=Y26),"",INDEX(C$8:I$8,Y26))</f>
        <v/>
      </c>
      <c r="U26" s="11" t="str" cm="1">
        <f t="array" ref="U26">IF(X26&gt;SUM(C$6:I$6),"",IF(Z26=1,INDEX(C$5:I$5,Y26),U25+AB25/24+IF(AC25,0.5/24,0)+IF(AD25,8/(60*24),0)))</f>
        <v/>
      </c>
      <c r="V26" s="7" t="str" cm="1">
        <f t="array" ref="V26">IF(X26&gt;SUM(C$6:I$6),"",INDEX(B$10:B$29,AA26))&amp;IF(R26="","",";OVT")&amp;IF(S26="","",";Pay OVT Addition")</f>
        <v/>
      </c>
      <c r="W26" s="11" t="str">
        <f t="shared" si="3"/>
        <v/>
      </c>
      <c r="X26" s="7">
        <v>17</v>
      </c>
      <c r="Y26" s="7" t="str">
        <f t="shared" si="4"/>
        <v/>
      </c>
      <c r="Z26" s="7" t="str">
        <f t="shared" si="5"/>
        <v/>
      </c>
      <c r="AA26" s="7" t="str">
        <f t="shared" si="6"/>
        <v/>
      </c>
      <c r="AB26" s="8" t="str" cm="1">
        <f t="array" ref="AB26">IF(X26&gt;SUM(C$6:I$6),"",INDEX(C$10:I$29,AA26,Y26))</f>
        <v/>
      </c>
      <c r="AC26" s="13" t="str">
        <f>IF(X26&gt;SUM(C$6:I$6),"",AND(SUMIF(Y$10:Y26,Y26,AB$10:AB26)-AB26&lt;4,SUMIF(Y$10:Y26,Y26,AB$10:AB26)&gt;=4))</f>
        <v/>
      </c>
      <c r="AD26" s="13" t="str">
        <f t="shared" si="7"/>
        <v/>
      </c>
      <c r="AE26" s="13" t="str">
        <f t="shared" si="8"/>
        <v/>
      </c>
    </row>
    <row r="27" spans="1:31" x14ac:dyDescent="0.25">
      <c r="A27" s="6"/>
      <c r="B27" s="6"/>
      <c r="C27" s="18"/>
      <c r="D27" s="18"/>
      <c r="E27" s="18"/>
      <c r="F27" s="18"/>
      <c r="G27" s="18"/>
      <c r="H27" s="18"/>
      <c r="I27" s="18"/>
      <c r="J27" s="7">
        <f>IF(C27&gt;0,COUNT(C$10:C27),0)</f>
        <v>0</v>
      </c>
      <c r="K27" s="7">
        <f>IF(D27&gt;0,COUNT(D$10:D27),0)</f>
        <v>0</v>
      </c>
      <c r="L27" s="7">
        <f>IF(E27&gt;0,COUNT(E$10:E27),0)</f>
        <v>0</v>
      </c>
      <c r="M27" s="7">
        <f>IF(F27&gt;0,COUNT(F$10:F27),0)</f>
        <v>0</v>
      </c>
      <c r="N27" s="7">
        <f>IF(G27&gt;0,COUNT(G$10:G27),0)</f>
        <v>0</v>
      </c>
      <c r="O27" s="7">
        <f>IF(H27&gt;0,COUNT(H$10:H27),0)</f>
        <v>0</v>
      </c>
      <c r="P27" s="7">
        <f>IF(I27&gt;0,COUNT(I$10:I27),0)</f>
        <v>0</v>
      </c>
      <c r="R27" s="12"/>
      <c r="S27" s="12"/>
      <c r="T27" s="10" t="str" cm="1">
        <f t="array" ref="T27">IF(OR(X27&gt;SUM(C$6:I$6),Y26=Y27),"",INDEX(C$8:I$8,Y27))</f>
        <v/>
      </c>
      <c r="U27" s="11" t="str" cm="1">
        <f t="array" ref="U27">IF(X27&gt;SUM(C$6:I$6),"",IF(Z27=1,INDEX(C$5:I$5,Y27),U26+AB26/24+IF(AC26,0.5/24,0)+IF(AD26,8/(60*24),0)))</f>
        <v/>
      </c>
      <c r="V27" s="7" t="str" cm="1">
        <f t="array" ref="V27">IF(X27&gt;SUM(C$6:I$6),"",INDEX(B$10:B$29,AA27))&amp;IF(R27="","",";OVT")&amp;IF(S27="","",";Pay OVT Addition")</f>
        <v/>
      </c>
      <c r="W27" s="11" t="str">
        <f t="shared" si="3"/>
        <v/>
      </c>
      <c r="X27" s="7">
        <v>18</v>
      </c>
      <c r="Y27" s="7" t="str">
        <f t="shared" si="4"/>
        <v/>
      </c>
      <c r="Z27" s="7" t="str">
        <f t="shared" si="5"/>
        <v/>
      </c>
      <c r="AA27" s="7" t="str">
        <f t="shared" si="6"/>
        <v/>
      </c>
      <c r="AB27" s="8" t="str" cm="1">
        <f t="array" ref="AB27">IF(X27&gt;SUM(C$6:I$6),"",INDEX(C$10:I$29,AA27,Y27))</f>
        <v/>
      </c>
      <c r="AC27" s="13" t="str">
        <f>IF(X27&gt;SUM(C$6:I$6),"",AND(SUMIF(Y$10:Y27,Y27,AB$10:AB27)-AB27&lt;4,SUMIF(Y$10:Y27,Y27,AB$10:AB27)&gt;=4))</f>
        <v/>
      </c>
      <c r="AD27" s="13" t="str">
        <f t="shared" si="7"/>
        <v/>
      </c>
      <c r="AE27" s="13" t="str">
        <f t="shared" si="8"/>
        <v/>
      </c>
    </row>
    <row r="28" spans="1:31" x14ac:dyDescent="0.25">
      <c r="A28" s="6"/>
      <c r="B28" s="6"/>
      <c r="C28" s="18"/>
      <c r="D28" s="18"/>
      <c r="E28" s="18"/>
      <c r="F28" s="18"/>
      <c r="G28" s="18"/>
      <c r="H28" s="18"/>
      <c r="I28" s="18"/>
      <c r="J28" s="7">
        <f>IF(C28&gt;0,COUNT(C$10:C28),0)</f>
        <v>0</v>
      </c>
      <c r="K28" s="7">
        <f>IF(D28&gt;0,COUNT(D$10:D28),0)</f>
        <v>0</v>
      </c>
      <c r="L28" s="7">
        <f>IF(E28&gt;0,COUNT(E$10:E28),0)</f>
        <v>0</v>
      </c>
      <c r="M28" s="7">
        <f>IF(F28&gt;0,COUNT(F$10:F28),0)</f>
        <v>0</v>
      </c>
      <c r="N28" s="7">
        <f>IF(G28&gt;0,COUNT(G$10:G28),0)</f>
        <v>0</v>
      </c>
      <c r="O28" s="7">
        <f>IF(H28&gt;0,COUNT(H$10:H28),0)</f>
        <v>0</v>
      </c>
      <c r="P28" s="7">
        <f>IF(I28&gt;0,COUNT(I$10:I28),0)</f>
        <v>0</v>
      </c>
      <c r="R28" s="12"/>
      <c r="S28" s="12"/>
      <c r="T28" s="10" t="str" cm="1">
        <f t="array" ref="T28">IF(OR(X28&gt;SUM(C$6:I$6),Y27=Y28),"",INDEX(C$8:I$8,Y28))</f>
        <v/>
      </c>
      <c r="U28" s="11" t="str" cm="1">
        <f t="array" ref="U28">IF(X28&gt;SUM(C$6:I$6),"",IF(Z28=1,INDEX(C$5:I$5,Y28),U27+AB27/24+IF(AC27,0.5/24,0)+IF(AD27,8/(60*24),0)))</f>
        <v/>
      </c>
      <c r="V28" s="7" t="str" cm="1">
        <f t="array" ref="V28">IF(X28&gt;SUM(C$6:I$6),"",INDEX(B$10:B$29,AA28))&amp;IF(R28="","",";OVT")&amp;IF(S28="","",";Pay OVT Addition")</f>
        <v/>
      </c>
      <c r="W28" s="11" t="str">
        <f t="shared" si="3"/>
        <v/>
      </c>
      <c r="X28" s="7">
        <v>19</v>
      </c>
      <c r="Y28" s="7" t="str">
        <f t="shared" si="4"/>
        <v/>
      </c>
      <c r="Z28" s="7" t="str">
        <f t="shared" si="5"/>
        <v/>
      </c>
      <c r="AA28" s="7" t="str">
        <f t="shared" si="6"/>
        <v/>
      </c>
      <c r="AB28" s="8" t="str" cm="1">
        <f t="array" ref="AB28">IF(X28&gt;SUM(C$6:I$6),"",INDEX(C$10:I$29,AA28,Y28))</f>
        <v/>
      </c>
      <c r="AC28" s="13" t="str">
        <f>IF(X28&gt;SUM(C$6:I$6),"",AND(SUMIF(Y$10:Y28,Y28,AB$10:AB28)-AB28&lt;4,SUMIF(Y$10:Y28,Y28,AB$10:AB28)&gt;=4))</f>
        <v/>
      </c>
      <c r="AD28" s="13" t="str">
        <f t="shared" si="7"/>
        <v/>
      </c>
      <c r="AE28" s="13" t="str">
        <f t="shared" si="8"/>
        <v/>
      </c>
    </row>
    <row r="29" spans="1:31" x14ac:dyDescent="0.25">
      <c r="A29" s="6"/>
      <c r="B29" s="6"/>
      <c r="C29" s="18"/>
      <c r="D29" s="18"/>
      <c r="E29" s="18"/>
      <c r="F29" s="18"/>
      <c r="G29" s="18"/>
      <c r="H29" s="18"/>
      <c r="I29" s="18"/>
      <c r="J29" s="7">
        <f>IF(C29&gt;0,COUNT(C$10:C29),0)</f>
        <v>0</v>
      </c>
      <c r="K29" s="7">
        <f>IF(D29&gt;0,COUNT(D$10:D29),0)</f>
        <v>0</v>
      </c>
      <c r="L29" s="7">
        <f>IF(E29&gt;0,COUNT(E$10:E29),0)</f>
        <v>0</v>
      </c>
      <c r="M29" s="7">
        <f>IF(F29&gt;0,COUNT(F$10:F29),0)</f>
        <v>0</v>
      </c>
      <c r="N29" s="7">
        <f>IF(G29&gt;0,COUNT(G$10:G29),0)</f>
        <v>0</v>
      </c>
      <c r="O29" s="7">
        <f>IF(H29&gt;0,COUNT(H$10:H29),0)</f>
        <v>0</v>
      </c>
      <c r="P29" s="7">
        <f>IF(I29&gt;0,COUNT(I$10:I29),0)</f>
        <v>0</v>
      </c>
      <c r="R29" s="12"/>
      <c r="S29" s="12"/>
      <c r="T29" s="10" t="str" cm="1">
        <f t="array" ref="T29">IF(OR(X29&gt;SUM(C$6:I$6),Y28=Y29),"",INDEX(C$8:I$8,Y29))</f>
        <v/>
      </c>
      <c r="U29" s="11" t="str" cm="1">
        <f t="array" ref="U29">IF(X29&gt;SUM(C$6:I$6),"",IF(Z29=1,INDEX(C$5:I$5,Y29),U28+AB28/24+IF(AC28,0.5/24,0)+IF(AD28,8/(60*24),0)))</f>
        <v/>
      </c>
      <c r="V29" s="7" t="str" cm="1">
        <f t="array" ref="V29">IF(X29&gt;SUM(C$6:I$6),"",INDEX(B$10:B$29,AA29))&amp;IF(R29="","",";OVT")&amp;IF(S29="","",";Pay OVT Addition")</f>
        <v/>
      </c>
      <c r="W29" s="11" t="str">
        <f t="shared" si="3"/>
        <v/>
      </c>
      <c r="X29" s="7">
        <v>20</v>
      </c>
      <c r="Y29" s="7" t="str">
        <f t="shared" si="4"/>
        <v/>
      </c>
      <c r="Z29" s="7" t="str">
        <f t="shared" si="5"/>
        <v/>
      </c>
      <c r="AA29" s="7" t="str">
        <f t="shared" si="6"/>
        <v/>
      </c>
      <c r="AB29" s="8" t="str" cm="1">
        <f t="array" ref="AB29">IF(X29&gt;SUM(C$6:I$6),"",INDEX(C$10:I$29,AA29,Y29))</f>
        <v/>
      </c>
      <c r="AC29" s="13" t="str">
        <f>IF(X29&gt;SUM(C$6:I$6),"",AND(SUMIF(Y$10:Y29,Y29,AB$10:AB29)-AB29&lt;4,SUMIF(Y$10:Y29,Y29,AB$10:AB29)&gt;=4))</f>
        <v/>
      </c>
      <c r="AD29" s="13" t="str">
        <f t="shared" si="7"/>
        <v/>
      </c>
      <c r="AE29" s="13" t="str">
        <f t="shared" si="8"/>
        <v/>
      </c>
    </row>
    <row r="30" spans="1:31" x14ac:dyDescent="0.25">
      <c r="R30" s="12"/>
      <c r="S30" s="12"/>
      <c r="T30" s="10" t="str" cm="1">
        <f t="array" ref="T30">IF(OR(X30&gt;SUM(C$6:I$6),Y29=Y30),"",INDEX(C$8:I$8,Y30))</f>
        <v/>
      </c>
      <c r="U30" s="11" t="str" cm="1">
        <f t="array" ref="U30">IF(X30&gt;SUM(C$6:I$6),"",IF(Z30=1,INDEX(C$5:I$5,Y30),U29+AB29/24+IF(AC29,0.5/24,0)+IF(AD29,8/(60*24),0)))</f>
        <v/>
      </c>
      <c r="V30" s="7" t="str" cm="1">
        <f t="array" ref="V30">IF(X30&gt;SUM(C$6:I$6),"",INDEX(B$10:B$29,AA30))&amp;IF(R30="","",";OVT")&amp;IF(S30="","",";Pay OVT Addition")</f>
        <v/>
      </c>
      <c r="W30" s="11" t="str">
        <f t="shared" si="3"/>
        <v/>
      </c>
      <c r="X30" s="7">
        <v>21</v>
      </c>
      <c r="Y30" s="7" t="str">
        <f t="shared" si="4"/>
        <v/>
      </c>
      <c r="Z30" s="7" t="str">
        <f t="shared" si="5"/>
        <v/>
      </c>
      <c r="AA30" s="7" t="str">
        <f t="shared" si="6"/>
        <v/>
      </c>
      <c r="AB30" s="8" t="str" cm="1">
        <f t="array" ref="AB30">IF(X30&gt;SUM(C$6:I$6),"",INDEX(C$10:I$29,AA30,Y30))</f>
        <v/>
      </c>
      <c r="AC30" s="13" t="str">
        <f>IF(X30&gt;SUM(C$6:I$6),"",AND(SUMIF(Y$10:Y30,Y30,AB$10:AB30)-AB30&lt;4,SUMIF(Y$10:Y30,Y30,AB$10:AB30)&gt;=4))</f>
        <v/>
      </c>
      <c r="AD30" s="13" t="str">
        <f t="shared" si="7"/>
        <v/>
      </c>
      <c r="AE30" s="13" t="str">
        <f t="shared" si="8"/>
        <v/>
      </c>
    </row>
    <row r="31" spans="1:31" x14ac:dyDescent="0.25">
      <c r="R31" s="12"/>
      <c r="S31" s="12"/>
      <c r="T31" s="10" t="str" cm="1">
        <f t="array" ref="T31">IF(OR(X31&gt;SUM(C$6:I$6),Y30=Y31),"",INDEX(C$8:I$8,Y31))</f>
        <v/>
      </c>
      <c r="U31" s="11" t="str" cm="1">
        <f t="array" ref="U31">IF(X31&gt;SUM(C$6:I$6),"",IF(Z31=1,INDEX(C$5:I$5,Y31),U30+AB30/24+IF(AC30,0.5/24,0)+IF(AD30,8/(60*24),0)))</f>
        <v/>
      </c>
      <c r="V31" s="7" t="str" cm="1">
        <f t="array" ref="V31">IF(X31&gt;SUM(C$6:I$6),"",INDEX(B$10:B$29,AA31))&amp;IF(R31="","",";OVT")&amp;IF(S31="","",";Pay OVT Addition")</f>
        <v/>
      </c>
      <c r="W31" s="11" t="str">
        <f t="shared" si="3"/>
        <v/>
      </c>
      <c r="X31" s="7">
        <v>22</v>
      </c>
      <c r="Y31" s="7" t="str">
        <f t="shared" si="4"/>
        <v/>
      </c>
      <c r="Z31" s="7" t="str">
        <f t="shared" si="5"/>
        <v/>
      </c>
      <c r="AA31" s="7" t="str">
        <f t="shared" si="6"/>
        <v/>
      </c>
      <c r="AB31" s="8" t="str" cm="1">
        <f t="array" ref="AB31">IF(X31&gt;SUM(C$6:I$6),"",INDEX(C$10:I$29,AA31,Y31))</f>
        <v/>
      </c>
      <c r="AC31" s="13" t="str">
        <f>IF(X31&gt;SUM(C$6:I$6),"",AND(SUMIF(Y$10:Y31,Y31,AB$10:AB31)-AB31&lt;4,SUMIF(Y$10:Y31,Y31,AB$10:AB31)&gt;=4))</f>
        <v/>
      </c>
      <c r="AD31" s="13" t="str">
        <f t="shared" si="7"/>
        <v/>
      </c>
      <c r="AE31" s="13" t="str">
        <f t="shared" si="8"/>
        <v/>
      </c>
    </row>
    <row r="32" spans="1:31" x14ac:dyDescent="0.25">
      <c r="R32" s="12"/>
      <c r="S32" s="12"/>
      <c r="T32" s="10" t="str" cm="1">
        <f t="array" ref="T32">IF(OR(X32&gt;SUM(C$6:I$6),Y31=Y32),"",INDEX(C$8:I$8,Y32))</f>
        <v/>
      </c>
      <c r="U32" s="11" t="str" cm="1">
        <f t="array" ref="U32">IF(X32&gt;SUM(C$6:I$6),"",IF(Z32=1,INDEX(C$5:I$5,Y32),U31+AB31/24+IF(AC31,0.5/24,0)+IF(AD31,8/(60*24),0)))</f>
        <v/>
      </c>
      <c r="V32" s="7" t="str" cm="1">
        <f t="array" ref="V32">IF(X32&gt;SUM(C$6:I$6),"",INDEX(B$10:B$29,AA32))&amp;IF(R32="","",";OVT")&amp;IF(S32="","",";Pay OVT Addition")</f>
        <v/>
      </c>
      <c r="W32" s="11" t="str">
        <f t="shared" si="3"/>
        <v/>
      </c>
      <c r="X32" s="7">
        <v>23</v>
      </c>
      <c r="Y32" s="7" t="str">
        <f t="shared" si="4"/>
        <v/>
      </c>
      <c r="Z32" s="7" t="str">
        <f t="shared" si="5"/>
        <v/>
      </c>
      <c r="AA32" s="7" t="str">
        <f t="shared" si="6"/>
        <v/>
      </c>
      <c r="AB32" s="8" t="str" cm="1">
        <f t="array" ref="AB32">IF(X32&gt;SUM(C$6:I$6),"",INDEX(C$10:I$29,AA32,Y32))</f>
        <v/>
      </c>
      <c r="AC32" s="13" t="str">
        <f>IF(X32&gt;SUM(C$6:I$6),"",AND(SUMIF(Y$10:Y32,Y32,AB$10:AB32)-AB32&lt;4,SUMIF(Y$10:Y32,Y32,AB$10:AB32)&gt;=4))</f>
        <v/>
      </c>
      <c r="AD32" s="13" t="str">
        <f t="shared" si="7"/>
        <v/>
      </c>
      <c r="AE32" s="13" t="str">
        <f t="shared" si="8"/>
        <v/>
      </c>
    </row>
    <row r="33" spans="18:31" x14ac:dyDescent="0.25">
      <c r="R33" s="12"/>
      <c r="S33" s="12"/>
      <c r="T33" s="10" t="str" cm="1">
        <f t="array" ref="T33">IF(OR(X33&gt;SUM(C$6:I$6),Y32=Y33),"",INDEX(C$8:I$8,Y33))</f>
        <v/>
      </c>
      <c r="U33" s="11" t="str" cm="1">
        <f t="array" ref="U33">IF(X33&gt;SUM(C$6:I$6),"",IF(Z33=1,INDEX(C$5:I$5,Y33),U32+AB32/24+IF(AC32,0.5/24,0)+IF(AD32,8/(60*24),0)))</f>
        <v/>
      </c>
      <c r="V33" s="7" t="str" cm="1">
        <f t="array" ref="V33">IF(X33&gt;SUM(C$6:I$6),"",INDEX(B$10:B$29,AA33))&amp;IF(R33="","",";OVT")&amp;IF(S33="","",";Pay OVT Addition")</f>
        <v/>
      </c>
      <c r="W33" s="11" t="str">
        <f t="shared" si="3"/>
        <v/>
      </c>
      <c r="X33" s="7">
        <v>24</v>
      </c>
      <c r="Y33" s="7" t="str">
        <f t="shared" si="4"/>
        <v/>
      </c>
      <c r="Z33" s="7" t="str">
        <f t="shared" si="5"/>
        <v/>
      </c>
      <c r="AA33" s="7" t="str">
        <f t="shared" si="6"/>
        <v/>
      </c>
      <c r="AB33" s="8" t="str" cm="1">
        <f t="array" ref="AB33">IF(X33&gt;SUM(C$6:I$6),"",INDEX(C$10:I$29,AA33,Y33))</f>
        <v/>
      </c>
      <c r="AC33" s="13" t="str">
        <f>IF(X33&gt;SUM(C$6:I$6),"",AND(SUMIF(Y$10:Y33,Y33,AB$10:AB33)-AB33&lt;4,SUMIF(Y$10:Y33,Y33,AB$10:AB33)&gt;=4))</f>
        <v/>
      </c>
      <c r="AD33" s="13" t="str">
        <f t="shared" si="7"/>
        <v/>
      </c>
      <c r="AE33" s="13" t="str">
        <f t="shared" si="8"/>
        <v/>
      </c>
    </row>
    <row r="34" spans="18:31" x14ac:dyDescent="0.25">
      <c r="R34" s="12"/>
      <c r="S34" s="12"/>
      <c r="T34" s="10" t="str" cm="1">
        <f t="array" ref="T34">IF(OR(X34&gt;SUM(C$6:I$6),Y33=Y34),"",INDEX(C$8:I$8,Y34))</f>
        <v/>
      </c>
      <c r="U34" s="11" t="str" cm="1">
        <f t="array" ref="U34">IF(X34&gt;SUM(C$6:I$6),"",IF(Z34=1,INDEX(C$5:I$5,Y34),U33+AB33/24+IF(AC33,0.5/24,0)+IF(AD33,8/(60*24),0)))</f>
        <v/>
      </c>
      <c r="V34" s="7" t="str" cm="1">
        <f t="array" ref="V34">IF(X34&gt;SUM(C$6:I$6),"",INDEX(B$10:B$29,AA34))&amp;IF(R34="","",";OVT")&amp;IF(S34="","",";Pay OVT Addition")</f>
        <v/>
      </c>
      <c r="W34" s="11" t="str">
        <f t="shared" si="3"/>
        <v/>
      </c>
      <c r="X34" s="7">
        <v>25</v>
      </c>
      <c r="Y34" s="7" t="str">
        <f t="shared" si="4"/>
        <v/>
      </c>
      <c r="Z34" s="7" t="str">
        <f t="shared" si="5"/>
        <v/>
      </c>
      <c r="AA34" s="7" t="str">
        <f t="shared" si="6"/>
        <v/>
      </c>
      <c r="AB34" s="8" t="str" cm="1">
        <f t="array" ref="AB34">IF(X34&gt;SUM(C$6:I$6),"",INDEX(C$10:I$29,AA34,Y34))</f>
        <v/>
      </c>
      <c r="AC34" s="13" t="str">
        <f>IF(X34&gt;SUM(C$6:I$6),"",AND(SUMIF(Y$10:Y34,Y34,AB$10:AB34)-AB34&lt;4,SUMIF(Y$10:Y34,Y34,AB$10:AB34)&gt;=4))</f>
        <v/>
      </c>
      <c r="AD34" s="13" t="str">
        <f t="shared" si="7"/>
        <v/>
      </c>
      <c r="AE34" s="13" t="str">
        <f t="shared" si="8"/>
        <v/>
      </c>
    </row>
    <row r="35" spans="18:31" x14ac:dyDescent="0.25">
      <c r="R35" s="12"/>
      <c r="S35" s="12"/>
      <c r="T35" s="10" t="str" cm="1">
        <f t="array" ref="T35">IF(OR(X35&gt;SUM(C$6:I$6),Y34=Y35),"",INDEX(C$8:I$8,Y35))</f>
        <v/>
      </c>
      <c r="U35" s="11" t="str" cm="1">
        <f t="array" ref="U35">IF(X35&gt;SUM(C$6:I$6),"",IF(Z35=1,INDEX(C$5:I$5,Y35),U34+AB34/24+IF(AC34,0.5/24,0)+IF(AD34,8/(60*24),0)))</f>
        <v/>
      </c>
      <c r="V35" s="7" t="str" cm="1">
        <f t="array" ref="V35">IF(X35&gt;SUM(C$6:I$6),"",INDEX(B$10:B$29,AA35))&amp;IF(R35="","",";OVT")&amp;IF(S35="","",";Pay OVT Addition")</f>
        <v/>
      </c>
      <c r="W35" s="11" t="str">
        <f t="shared" si="3"/>
        <v/>
      </c>
      <c r="X35" s="7">
        <v>26</v>
      </c>
      <c r="Y35" s="7" t="str">
        <f t="shared" si="4"/>
        <v/>
      </c>
      <c r="Z35" s="7" t="str">
        <f t="shared" si="5"/>
        <v/>
      </c>
      <c r="AA35" s="7" t="str">
        <f t="shared" si="6"/>
        <v/>
      </c>
      <c r="AB35" s="8" t="str" cm="1">
        <f t="array" ref="AB35">IF(X35&gt;SUM(C$6:I$6),"",INDEX(C$10:I$29,AA35,Y35))</f>
        <v/>
      </c>
      <c r="AC35" s="13" t="str">
        <f>IF(X35&gt;SUM(C$6:I$6),"",AND(SUMIF(Y$10:Y35,Y35,AB$10:AB35)-AB35&lt;4,SUMIF(Y$10:Y35,Y35,AB$10:AB35)&gt;=4))</f>
        <v/>
      </c>
      <c r="AD35" s="13" t="str">
        <f t="shared" si="7"/>
        <v/>
      </c>
      <c r="AE35" s="13" t="str">
        <f t="shared" si="8"/>
        <v/>
      </c>
    </row>
    <row r="36" spans="18:31" x14ac:dyDescent="0.25">
      <c r="R36" s="12"/>
      <c r="S36" s="12"/>
      <c r="T36" s="10" t="str" cm="1">
        <f t="array" ref="T36">IF(OR(X36&gt;SUM(C$6:I$6),Y35=Y36),"",INDEX(C$8:I$8,Y36))</f>
        <v/>
      </c>
      <c r="U36" s="11" t="str" cm="1">
        <f t="array" ref="U36">IF(X36&gt;SUM(C$6:I$6),"",IF(Z36=1,INDEX(C$5:I$5,Y36),U35+AB35/24+IF(AC35,0.5/24,0)+IF(AD35,8/(60*24),0)))</f>
        <v/>
      </c>
      <c r="V36" s="7" t="str" cm="1">
        <f t="array" ref="V36">IF(X36&gt;SUM(C$6:I$6),"",INDEX(B$10:B$29,AA36))&amp;IF(R36="","",";OVT")&amp;IF(S36="","",";Pay OVT Addition")</f>
        <v/>
      </c>
      <c r="W36" s="11" t="str">
        <f t="shared" si="3"/>
        <v/>
      </c>
      <c r="X36" s="7">
        <v>27</v>
      </c>
      <c r="Y36" s="7" t="str">
        <f t="shared" si="4"/>
        <v/>
      </c>
      <c r="Z36" s="7" t="str">
        <f t="shared" si="5"/>
        <v/>
      </c>
      <c r="AA36" s="7" t="str">
        <f t="shared" si="6"/>
        <v/>
      </c>
      <c r="AB36" s="8" t="str" cm="1">
        <f t="array" ref="AB36">IF(X36&gt;SUM(C$6:I$6),"",INDEX(C$10:I$29,AA36,Y36))</f>
        <v/>
      </c>
      <c r="AC36" s="13" t="str">
        <f>IF(X36&gt;SUM(C$6:I$6),"",AND(SUMIF(Y$10:Y36,Y36,AB$10:AB36)-AB36&lt;4,SUMIF(Y$10:Y36,Y36,AB$10:AB36)&gt;=4))</f>
        <v/>
      </c>
      <c r="AD36" s="13" t="str">
        <f t="shared" si="7"/>
        <v/>
      </c>
      <c r="AE36" s="13" t="str">
        <f t="shared" si="8"/>
        <v/>
      </c>
    </row>
    <row r="37" spans="18:31" x14ac:dyDescent="0.25">
      <c r="R37" s="12"/>
      <c r="S37" s="12"/>
      <c r="T37" s="10" t="str" cm="1">
        <f t="array" ref="T37">IF(OR(X37&gt;SUM(C$6:I$6),Y36=Y37),"",INDEX(C$8:I$8,Y37))</f>
        <v/>
      </c>
      <c r="U37" s="11" t="str" cm="1">
        <f t="array" ref="U37">IF(X37&gt;SUM(C$6:I$6),"",IF(Z37=1,INDEX(C$5:I$5,Y37),U36+AB36/24+IF(AC36,0.5/24,0)+IF(AD36,8/(60*24),0)))</f>
        <v/>
      </c>
      <c r="V37" s="7" t="str" cm="1">
        <f t="array" ref="V37">IF(X37&gt;SUM(C$6:I$6),"",INDEX(B$10:B$29,AA37))&amp;IF(R37="","",";OVT")&amp;IF(S37="","",";Pay OVT Addition")</f>
        <v/>
      </c>
      <c r="W37" s="11" t="str">
        <f t="shared" si="3"/>
        <v/>
      </c>
      <c r="X37" s="7">
        <v>28</v>
      </c>
      <c r="Y37" s="7" t="str">
        <f t="shared" si="4"/>
        <v/>
      </c>
      <c r="Z37" s="7" t="str">
        <f t="shared" si="5"/>
        <v/>
      </c>
      <c r="AA37" s="7" t="str">
        <f t="shared" si="6"/>
        <v/>
      </c>
      <c r="AB37" s="8" t="str" cm="1">
        <f t="array" ref="AB37">IF(X37&gt;SUM(C$6:I$6),"",INDEX(C$10:I$29,AA37,Y37))</f>
        <v/>
      </c>
      <c r="AC37" s="13" t="str">
        <f>IF(X37&gt;SUM(C$6:I$6),"",AND(SUMIF(Y$10:Y37,Y37,AB$10:AB37)-AB37&lt;4,SUMIF(Y$10:Y37,Y37,AB$10:AB37)&gt;=4))</f>
        <v/>
      </c>
      <c r="AD37" s="13" t="str">
        <f t="shared" si="7"/>
        <v/>
      </c>
      <c r="AE37" s="13" t="str">
        <f t="shared" si="8"/>
        <v/>
      </c>
    </row>
    <row r="38" spans="18:31" x14ac:dyDescent="0.25">
      <c r="R38" s="12"/>
      <c r="S38" s="12"/>
      <c r="T38" s="10" t="str" cm="1">
        <f t="array" ref="T38">IF(OR(X38&gt;SUM(C$6:I$6),Y37=Y38),"",INDEX(C$8:I$8,Y38))</f>
        <v/>
      </c>
      <c r="U38" s="11" t="str" cm="1">
        <f t="array" ref="U38">IF(X38&gt;SUM(C$6:I$6),"",IF(Z38=1,INDEX(C$5:I$5,Y38),U37+AB37/24+IF(AC37,0.5/24,0)+IF(AD37,8/(60*24),0)))</f>
        <v/>
      </c>
      <c r="V38" s="7" t="str" cm="1">
        <f t="array" ref="V38">IF(X38&gt;SUM(C$6:I$6),"",INDEX(B$10:B$29,AA38))&amp;IF(R38="","",";OVT")&amp;IF(S38="","",";Pay OVT Addition")</f>
        <v/>
      </c>
      <c r="W38" s="11" t="str">
        <f t="shared" si="3"/>
        <v/>
      </c>
      <c r="X38" s="7">
        <v>29</v>
      </c>
      <c r="Y38" s="7" t="str">
        <f t="shared" si="4"/>
        <v/>
      </c>
      <c r="Z38" s="7" t="str">
        <f t="shared" si="5"/>
        <v/>
      </c>
      <c r="AA38" s="7" t="str">
        <f t="shared" si="6"/>
        <v/>
      </c>
      <c r="AB38" s="8" t="str" cm="1">
        <f t="array" ref="AB38">IF(X38&gt;SUM(C$6:I$6),"",INDEX(C$10:I$29,AA38,Y38))</f>
        <v/>
      </c>
      <c r="AC38" s="13" t="str">
        <f>IF(X38&gt;SUM(C$6:I$6),"",AND(SUMIF(Y$10:Y38,Y38,AB$10:AB38)-AB38&lt;4,SUMIF(Y$10:Y38,Y38,AB$10:AB38)&gt;=4))</f>
        <v/>
      </c>
      <c r="AD38" s="13" t="str">
        <f t="shared" si="7"/>
        <v/>
      </c>
      <c r="AE38" s="13" t="str">
        <f t="shared" si="8"/>
        <v/>
      </c>
    </row>
    <row r="39" spans="18:31" x14ac:dyDescent="0.25">
      <c r="R39" s="12"/>
      <c r="S39" s="12"/>
      <c r="T39" s="10" t="str" cm="1">
        <f t="array" ref="T39">IF(OR(X39&gt;SUM(C$6:I$6),Y38=Y39),"",INDEX(C$8:I$8,Y39))</f>
        <v/>
      </c>
      <c r="U39" s="11" t="str" cm="1">
        <f t="array" ref="U39">IF(X39&gt;SUM(C$6:I$6),"",IF(Z39=1,INDEX(C$5:I$5,Y39),U38+AB38/24+IF(AC38,0.5/24,0)+IF(AD38,8/(60*24),0)))</f>
        <v/>
      </c>
      <c r="V39" s="7" t="str" cm="1">
        <f t="array" ref="V39">IF(X39&gt;SUM(C$6:I$6),"",INDEX(B$10:B$29,AA39))&amp;IF(R39="","",";OVT")&amp;IF(S39="","",";Pay OVT Addition")</f>
        <v/>
      </c>
      <c r="W39" s="11" t="str">
        <f t="shared" si="3"/>
        <v/>
      </c>
      <c r="X39" s="7">
        <v>30</v>
      </c>
      <c r="Y39" s="7" t="str">
        <f t="shared" si="4"/>
        <v/>
      </c>
      <c r="Z39" s="7" t="str">
        <f t="shared" si="5"/>
        <v/>
      </c>
      <c r="AA39" s="7" t="str">
        <f t="shared" si="6"/>
        <v/>
      </c>
      <c r="AB39" s="8" t="str" cm="1">
        <f t="array" ref="AB39">IF(X39&gt;SUM(C$6:I$6),"",INDEX(C$10:I$29,AA39,Y39))</f>
        <v/>
      </c>
      <c r="AC39" s="13" t="str">
        <f>IF(X39&gt;SUM(C$6:I$6),"",AND(SUMIF(Y$10:Y39,Y39,AB$10:AB39)-AB39&lt;4,SUMIF(Y$10:Y39,Y39,AB$10:AB39)&gt;=4))</f>
        <v/>
      </c>
      <c r="AD39" s="13" t="str">
        <f t="shared" si="7"/>
        <v/>
      </c>
      <c r="AE39" s="13" t="str">
        <f t="shared" si="8"/>
        <v/>
      </c>
    </row>
    <row r="40" spans="18:31" x14ac:dyDescent="0.25">
      <c r="R40" s="12"/>
      <c r="S40" s="12"/>
      <c r="T40" s="10" t="str" cm="1">
        <f t="array" ref="T40">IF(OR(X40&gt;SUM(C$6:I$6),Y39=Y40),"",INDEX(C$8:I$8,Y40))</f>
        <v/>
      </c>
      <c r="U40" s="11" t="str" cm="1">
        <f t="array" ref="U40">IF(X40&gt;SUM(C$6:I$6),"",IF(Z40=1,INDEX(C$5:I$5,Y40),U39+AB39/24+IF(AC39,0.5/24,0)+IF(AD39,8/(60*24),0)))</f>
        <v/>
      </c>
      <c r="V40" s="7" t="str" cm="1">
        <f t="array" ref="V40">IF(X40&gt;SUM(C$6:I$6),"",INDEX(B$10:B$29,AA40))&amp;IF(R40="","",";OVT")&amp;IF(S40="","",";Pay OVT Addition")</f>
        <v/>
      </c>
      <c r="W40" s="11" t="str">
        <f t="shared" ref="W40:W57" si="9">IF(OR(X40&gt;SUM(C$6:I$6),Y40=Y41),"",U40+AB40/24+IF(AC40,0.5/24,0)+IF(AD40,8/(60*24),0))</f>
        <v/>
      </c>
      <c r="X40" s="7">
        <v>31</v>
      </c>
      <c r="Y40" s="7" t="str">
        <f t="shared" ref="Y40:Y57" si="10">IF(X40&gt;SUM(C$6:I$6),"",MATCH(X40-1,J$6:P$6,1))</f>
        <v/>
      </c>
      <c r="Z40" s="7" t="str">
        <f t="shared" ref="Z40:Z57" si="11">IF(X40&gt;SUM(C$6:I$6),"",IF(Y40=Y39,Z39+1,1))</f>
        <v/>
      </c>
      <c r="AA40" s="7" t="str">
        <f t="shared" ref="AA40:AA56" si="12">IF(X40&gt;SUM(C$6:I$6),"",MATCH(Z40,CHOOSE(Y40,J$10:J$29,K$10:K$29,L$10:L$29,M$10:M$29,N$10:N$29,O$10:O$29,P$10:P$29),0))</f>
        <v/>
      </c>
      <c r="AB40" s="8" t="str" cm="1">
        <f t="array" ref="AB40">IF(X40&gt;SUM(C$6:I$6),"",INDEX(C$10:I$29,AA40,Y40))</f>
        <v/>
      </c>
      <c r="AC40" s="13" t="str">
        <f>IF(X40&gt;SUM(C$6:I$6),"",AND(SUMIF(Y$10:Y40,Y40,AB$10:AB40)-AB40&lt;4,SUMIF(Y$10:Y40,Y40,AB$10:AB40)&gt;=4))</f>
        <v/>
      </c>
      <c r="AD40" s="13" t="str">
        <f t="shared" ref="AD40:AD57" si="13">IF(X40&gt;SUM(C$6:I$6),"",AND($C$4,Z40=1))</f>
        <v/>
      </c>
      <c r="AE40" s="13" t="str">
        <f t="shared" ref="AE40:AE57" si="14">IF(X40&gt;SUM(C$6:I$6),"",OR(SUMIF(Y$10:Y$39,Y40,AB$10:AB$39)&gt;7.5,Y40&gt;5,_xlfn.MAXIFS(W$10:W$39,Y$10:Y$39,Y40)&gt;21/24))</f>
        <v/>
      </c>
    </row>
    <row r="41" spans="18:31" x14ac:dyDescent="0.25">
      <c r="R41" s="12"/>
      <c r="S41" s="12"/>
      <c r="T41" s="10" t="str" cm="1">
        <f t="array" ref="T41">IF(OR(X41&gt;SUM(C$6:I$6),Y40=Y41),"",INDEX(C$8:I$8,Y41))</f>
        <v/>
      </c>
      <c r="U41" s="11" t="str" cm="1">
        <f t="array" ref="U41">IF(X41&gt;SUM(C$6:I$6),"",IF(Z41=1,INDEX(C$5:I$5,Y41),U40+AB40/24+IF(AC40,0.5/24,0)+IF(AD40,8/(60*24),0)))</f>
        <v/>
      </c>
      <c r="V41" s="7" t="str" cm="1">
        <f t="array" ref="V41">IF(X41&gt;SUM(C$6:I$6),"",INDEX(B$10:B$29,AA41))&amp;IF(R41="","",";OVT")&amp;IF(S41="","",";Pay OVT Addition")</f>
        <v/>
      </c>
      <c r="W41" s="11" t="str">
        <f t="shared" si="9"/>
        <v/>
      </c>
      <c r="X41" s="7">
        <v>32</v>
      </c>
      <c r="Y41" s="7" t="str">
        <f t="shared" si="10"/>
        <v/>
      </c>
      <c r="Z41" s="7" t="str">
        <f t="shared" si="11"/>
        <v/>
      </c>
      <c r="AA41" s="7" t="str">
        <f t="shared" si="12"/>
        <v/>
      </c>
      <c r="AB41" s="8" t="str" cm="1">
        <f t="array" ref="AB41">IF(X41&gt;SUM(C$6:I$6),"",INDEX(C$10:I$29,AA41,Y41))</f>
        <v/>
      </c>
      <c r="AC41" s="13" t="str">
        <f>IF(X41&gt;SUM(C$6:I$6),"",AND(SUMIF(Y$10:Y41,Y41,AB$10:AB41)-AB41&lt;4,SUMIF(Y$10:Y41,Y41,AB$10:AB41)&gt;=4))</f>
        <v/>
      </c>
      <c r="AD41" s="13" t="str">
        <f t="shared" si="13"/>
        <v/>
      </c>
      <c r="AE41" s="13" t="str">
        <f t="shared" si="14"/>
        <v/>
      </c>
    </row>
    <row r="42" spans="18:31" x14ac:dyDescent="0.25">
      <c r="R42" s="12"/>
      <c r="S42" s="12"/>
      <c r="T42" s="10" t="str" cm="1">
        <f t="array" ref="T42">IF(OR(X42&gt;SUM(C$6:I$6),Y41=Y42),"",INDEX(C$8:I$8,Y42))</f>
        <v/>
      </c>
      <c r="U42" s="11" t="str" cm="1">
        <f t="array" ref="U42">IF(X42&gt;SUM(C$6:I$6),"",IF(Z42=1,INDEX(C$5:I$5,Y42),U41+AB41/24+IF(AC41,0.5/24,0)+IF(AD41,8/(60*24),0)))</f>
        <v/>
      </c>
      <c r="V42" s="7" t="str" cm="1">
        <f t="array" ref="V42">IF(X42&gt;SUM(C$6:I$6),"",INDEX(B$10:B$29,AA42))&amp;IF(R42="","",";OVT")&amp;IF(S42="","",";Pay OVT Addition")</f>
        <v/>
      </c>
      <c r="W42" s="11" t="str">
        <f t="shared" si="9"/>
        <v/>
      </c>
      <c r="X42" s="7">
        <v>33</v>
      </c>
      <c r="Y42" s="7" t="str">
        <f t="shared" si="10"/>
        <v/>
      </c>
      <c r="Z42" s="7" t="str">
        <f t="shared" si="11"/>
        <v/>
      </c>
      <c r="AA42" s="7" t="str">
        <f t="shared" si="12"/>
        <v/>
      </c>
      <c r="AB42" s="8" t="str" cm="1">
        <f t="array" ref="AB42">IF(X42&gt;SUM(C$6:I$6),"",INDEX(C$10:I$29,AA42,Y42))</f>
        <v/>
      </c>
      <c r="AC42" s="13" t="str">
        <f>IF(X42&gt;SUM(C$6:I$6),"",AND(SUMIF(Y$10:Y42,Y42,AB$10:AB42)-AB42&lt;4,SUMIF(Y$10:Y42,Y42,AB$10:AB42)&gt;=4))</f>
        <v/>
      </c>
      <c r="AD42" s="13" t="str">
        <f t="shared" si="13"/>
        <v/>
      </c>
      <c r="AE42" s="13" t="str">
        <f t="shared" si="14"/>
        <v/>
      </c>
    </row>
    <row r="43" spans="18:31" x14ac:dyDescent="0.25">
      <c r="R43" s="12"/>
      <c r="S43" s="12"/>
      <c r="T43" s="10" t="str" cm="1">
        <f t="array" ref="T43">IF(OR(X43&gt;SUM(C$6:I$6),Y42=Y43),"",INDEX(C$8:I$8,Y43))</f>
        <v/>
      </c>
      <c r="U43" s="11" t="str" cm="1">
        <f t="array" ref="U43">IF(X43&gt;SUM(C$6:I$6),"",IF(Z43=1,INDEX(C$5:I$5,Y43),U42+AB42/24+IF(AC42,0.5/24,0)+IF(AD42,8/(60*24),0)))</f>
        <v/>
      </c>
      <c r="V43" s="7" t="str" cm="1">
        <f t="array" ref="V43">IF(X43&gt;SUM(C$6:I$6),"",INDEX(B$10:B$29,AA43))&amp;IF(R43="","",";OVT")&amp;IF(S43="","",";Pay OVT Addition")</f>
        <v/>
      </c>
      <c r="W43" s="11" t="str">
        <f t="shared" si="9"/>
        <v/>
      </c>
      <c r="X43" s="7">
        <v>34</v>
      </c>
      <c r="Y43" s="7" t="str">
        <f t="shared" si="10"/>
        <v/>
      </c>
      <c r="Z43" s="7" t="str">
        <f t="shared" si="11"/>
        <v/>
      </c>
      <c r="AA43" s="7" t="str">
        <f t="shared" si="12"/>
        <v/>
      </c>
      <c r="AB43" s="8" t="str" cm="1">
        <f t="array" ref="AB43">IF(X43&gt;SUM(C$6:I$6),"",INDEX(C$10:I$29,AA43,Y43))</f>
        <v/>
      </c>
      <c r="AC43" s="13" t="str">
        <f>IF(X43&gt;SUM(C$6:I$6),"",AND(SUMIF(Y$10:Y43,Y43,AB$10:AB43)-AB43&lt;4,SUMIF(Y$10:Y43,Y43,AB$10:AB43)&gt;=4))</f>
        <v/>
      </c>
      <c r="AD43" s="13" t="str">
        <f t="shared" si="13"/>
        <v/>
      </c>
      <c r="AE43" s="13" t="str">
        <f t="shared" si="14"/>
        <v/>
      </c>
    </row>
    <row r="44" spans="18:31" x14ac:dyDescent="0.25">
      <c r="R44" s="12"/>
      <c r="S44" s="12"/>
      <c r="T44" s="10" t="str" cm="1">
        <f t="array" ref="T44">IF(OR(X44&gt;SUM(C$6:I$6),Y43=Y44),"",INDEX(C$8:I$8,Y44))</f>
        <v/>
      </c>
      <c r="U44" s="11" t="str" cm="1">
        <f t="array" ref="U44">IF(X44&gt;SUM(C$6:I$6),"",IF(Z44=1,INDEX(C$5:I$5,Y44),U43+AB43/24+IF(AC43,0.5/24,0)+IF(AD43,8/(60*24),0)))</f>
        <v/>
      </c>
      <c r="V44" s="7" t="str" cm="1">
        <f t="array" ref="V44">IF(X44&gt;SUM(C$6:I$6),"",INDEX(B$10:B$29,AA44))&amp;IF(R44="","",";OVT")&amp;IF(S44="","",";Pay OVT Addition")</f>
        <v/>
      </c>
      <c r="W44" s="11" t="str">
        <f t="shared" si="9"/>
        <v/>
      </c>
      <c r="X44" s="7">
        <v>35</v>
      </c>
      <c r="Y44" s="7" t="str">
        <f t="shared" si="10"/>
        <v/>
      </c>
      <c r="Z44" s="7" t="str">
        <f t="shared" si="11"/>
        <v/>
      </c>
      <c r="AA44" s="7" t="str">
        <f t="shared" si="12"/>
        <v/>
      </c>
      <c r="AB44" s="8" t="str" cm="1">
        <f t="array" ref="AB44">IF(X44&gt;SUM(C$6:I$6),"",INDEX(C$10:I$29,AA44,Y44))</f>
        <v/>
      </c>
      <c r="AC44" s="13" t="str">
        <f>IF(X44&gt;SUM(C$6:I$6),"",AND(SUMIF(Y$10:Y44,Y44,AB$10:AB44)-AB44&lt;4,SUMIF(Y$10:Y44,Y44,AB$10:AB44)&gt;=4))</f>
        <v/>
      </c>
      <c r="AD44" s="13" t="str">
        <f t="shared" si="13"/>
        <v/>
      </c>
      <c r="AE44" s="13" t="str">
        <f t="shared" si="14"/>
        <v/>
      </c>
    </row>
    <row r="45" spans="18:31" x14ac:dyDescent="0.25">
      <c r="R45" s="12"/>
      <c r="S45" s="12"/>
      <c r="T45" s="10" t="str" cm="1">
        <f t="array" ref="T45">IF(OR(X45&gt;SUM(C$6:I$6),Y44=Y45),"",INDEX(C$8:I$8,Y45))</f>
        <v/>
      </c>
      <c r="U45" s="11" t="str" cm="1">
        <f t="array" ref="U45">IF(X45&gt;SUM(C$6:I$6),"",IF(Z45=1,INDEX(C$5:I$5,Y45),U44+AB44/24+IF(AC44,0.5/24,0)+IF(AD44,8/(60*24),0)))</f>
        <v/>
      </c>
      <c r="V45" s="7" t="str" cm="1">
        <f t="array" ref="V45">IF(X45&gt;SUM(C$6:I$6),"",INDEX(B$10:B$29,AA45))&amp;IF(R45="","",";OVT")&amp;IF(S45="","",";Pay OVT Addition")</f>
        <v/>
      </c>
      <c r="W45" s="11" t="str">
        <f t="shared" si="9"/>
        <v/>
      </c>
      <c r="X45" s="7">
        <v>36</v>
      </c>
      <c r="Y45" s="7" t="str">
        <f t="shared" si="10"/>
        <v/>
      </c>
      <c r="Z45" s="7" t="str">
        <f t="shared" si="11"/>
        <v/>
      </c>
      <c r="AA45" s="7" t="str">
        <f t="shared" si="12"/>
        <v/>
      </c>
      <c r="AB45" s="8" t="str" cm="1">
        <f t="array" ref="AB45">IF(X45&gt;SUM(C$6:I$6),"",INDEX(C$10:I$29,AA45,Y45))</f>
        <v/>
      </c>
      <c r="AC45" s="13" t="str">
        <f>IF(X45&gt;SUM(C$6:I$6),"",AND(SUMIF(Y$10:Y45,Y45,AB$10:AB45)-AB45&lt;4,SUMIF(Y$10:Y45,Y45,AB$10:AB45)&gt;=4))</f>
        <v/>
      </c>
      <c r="AD45" s="13" t="str">
        <f t="shared" si="13"/>
        <v/>
      </c>
      <c r="AE45" s="13" t="str">
        <f t="shared" si="14"/>
        <v/>
      </c>
    </row>
    <row r="46" spans="18:31" x14ac:dyDescent="0.25">
      <c r="R46" s="12"/>
      <c r="S46" s="12"/>
      <c r="T46" s="10" t="str" cm="1">
        <f t="array" ref="T46">IF(OR(X46&gt;SUM(C$6:I$6),Y45=Y46),"",INDEX(C$8:I$8,Y46))</f>
        <v/>
      </c>
      <c r="U46" s="11" t="str" cm="1">
        <f t="array" ref="U46">IF(X46&gt;SUM(C$6:I$6),"",IF(Z46=1,INDEX(C$5:I$5,Y46),U45+AB45/24+IF(AC45,0.5/24,0)+IF(AD45,8/(60*24),0)))</f>
        <v/>
      </c>
      <c r="V46" s="7" t="str" cm="1">
        <f t="array" ref="V46">IF(X46&gt;SUM(C$6:I$6),"",INDEX(B$10:B$29,AA46))&amp;IF(R46="","",";OVT")&amp;IF(S46="","",";Pay OVT Addition")</f>
        <v/>
      </c>
      <c r="W46" s="11" t="str">
        <f t="shared" si="9"/>
        <v/>
      </c>
      <c r="X46" s="7">
        <v>37</v>
      </c>
      <c r="Y46" s="7" t="str">
        <f t="shared" si="10"/>
        <v/>
      </c>
      <c r="Z46" s="7" t="str">
        <f t="shared" si="11"/>
        <v/>
      </c>
      <c r="AA46" s="7" t="str">
        <f t="shared" si="12"/>
        <v/>
      </c>
      <c r="AB46" s="8" t="str" cm="1">
        <f t="array" ref="AB46">IF(X46&gt;SUM(C$6:I$6),"",INDEX(C$10:I$29,AA46,Y46))</f>
        <v/>
      </c>
      <c r="AC46" s="13" t="str">
        <f>IF(X46&gt;SUM(C$6:I$6),"",AND(SUMIF(Y$10:Y46,Y46,AB$10:AB46)-AB46&lt;4,SUMIF(Y$10:Y46,Y46,AB$10:AB46)&gt;=4))</f>
        <v/>
      </c>
      <c r="AD46" s="13" t="str">
        <f t="shared" si="13"/>
        <v/>
      </c>
      <c r="AE46" s="13" t="str">
        <f t="shared" si="14"/>
        <v/>
      </c>
    </row>
    <row r="47" spans="18:31" x14ac:dyDescent="0.25">
      <c r="R47" s="12"/>
      <c r="S47" s="12"/>
      <c r="T47" s="10" t="str" cm="1">
        <f t="array" ref="T47">IF(OR(X47&gt;SUM(C$6:I$6),Y46=Y47),"",INDEX(C$8:I$8,Y47))</f>
        <v/>
      </c>
      <c r="U47" s="11" t="str" cm="1">
        <f t="array" ref="U47">IF(X47&gt;SUM(C$6:I$6),"",IF(Z47=1,INDEX(C$5:I$5,Y47),U46+AB46/24+IF(AC46,0.5/24,0)+IF(AD46,8/(60*24),0)))</f>
        <v/>
      </c>
      <c r="V47" s="7" t="str" cm="1">
        <f t="array" ref="V47">IF(X47&gt;SUM(C$6:I$6),"",INDEX(B$10:B$29,AA47))&amp;IF(R47="","",";OVT")&amp;IF(S47="","",";Pay OVT Addition")</f>
        <v/>
      </c>
      <c r="W47" s="11" t="str">
        <f t="shared" si="9"/>
        <v/>
      </c>
      <c r="X47" s="7">
        <v>38</v>
      </c>
      <c r="Y47" s="7" t="str">
        <f t="shared" si="10"/>
        <v/>
      </c>
      <c r="Z47" s="7" t="str">
        <f t="shared" si="11"/>
        <v/>
      </c>
      <c r="AA47" s="7" t="str">
        <f t="shared" si="12"/>
        <v/>
      </c>
      <c r="AB47" s="8" t="str" cm="1">
        <f t="array" ref="AB47">IF(X47&gt;SUM(C$6:I$6),"",INDEX(C$10:I$29,AA47,Y47))</f>
        <v/>
      </c>
      <c r="AC47" s="13" t="str">
        <f>IF(X47&gt;SUM(C$6:I$6),"",AND(SUMIF(Y$10:Y47,Y47,AB$10:AB47)-AB47&lt;4,SUMIF(Y$10:Y47,Y47,AB$10:AB47)&gt;=4))</f>
        <v/>
      </c>
      <c r="AD47" s="13" t="str">
        <f t="shared" si="13"/>
        <v/>
      </c>
      <c r="AE47" s="13" t="str">
        <f t="shared" si="14"/>
        <v/>
      </c>
    </row>
    <row r="48" spans="18:31" x14ac:dyDescent="0.25">
      <c r="R48" s="12"/>
      <c r="S48" s="12"/>
      <c r="T48" s="10" t="str" cm="1">
        <f t="array" ref="T48">IF(OR(X48&gt;SUM(C$6:I$6),Y47=Y48),"",INDEX(C$8:I$8,Y48))</f>
        <v/>
      </c>
      <c r="U48" s="11" t="str" cm="1">
        <f t="array" ref="U48">IF(X48&gt;SUM(C$6:I$6),"",IF(Z48=1,INDEX(C$5:I$5,Y48),U47+AB47/24+IF(AC47,0.5/24,0)+IF(AD47,8/(60*24),0)))</f>
        <v/>
      </c>
      <c r="V48" s="7" t="str" cm="1">
        <f t="array" ref="V48">IF(X48&gt;SUM(C$6:I$6),"",INDEX(B$10:B$29,AA48))&amp;IF(R48="","",";OVT")&amp;IF(S48="","",";Pay OVT Addition")</f>
        <v/>
      </c>
      <c r="W48" s="11" t="str">
        <f t="shared" si="9"/>
        <v/>
      </c>
      <c r="X48" s="7">
        <v>39</v>
      </c>
      <c r="Y48" s="7" t="str">
        <f t="shared" si="10"/>
        <v/>
      </c>
      <c r="Z48" s="7" t="str">
        <f t="shared" si="11"/>
        <v/>
      </c>
      <c r="AA48" s="7" t="str">
        <f t="shared" si="12"/>
        <v/>
      </c>
      <c r="AB48" s="8" t="str" cm="1">
        <f t="array" ref="AB48">IF(X48&gt;SUM(C$6:I$6),"",INDEX(C$10:I$29,AA48,Y48))</f>
        <v/>
      </c>
      <c r="AC48" s="13" t="str">
        <f>IF(X48&gt;SUM(C$6:I$6),"",AND(SUMIF(Y$10:Y48,Y48,AB$10:AB48)-AB48&lt;4,SUMIF(Y$10:Y48,Y48,AB$10:AB48)&gt;=4))</f>
        <v/>
      </c>
      <c r="AD48" s="13" t="str">
        <f t="shared" si="13"/>
        <v/>
      </c>
      <c r="AE48" s="13" t="str">
        <f t="shared" si="14"/>
        <v/>
      </c>
    </row>
    <row r="49" spans="18:31" x14ac:dyDescent="0.25">
      <c r="R49" s="12"/>
      <c r="S49" s="12"/>
      <c r="T49" s="10" t="str" cm="1">
        <f t="array" ref="T49">IF(OR(X49&gt;SUM(C$6:I$6),Y48=Y49),"",INDEX(C$8:I$8,Y49))</f>
        <v/>
      </c>
      <c r="U49" s="11" t="str" cm="1">
        <f t="array" ref="U49">IF(X49&gt;SUM(C$6:I$6),"",IF(Z49=1,INDEX(C$5:I$5,Y49),U48+AB48/24+IF(AC48,0.5/24,0)+IF(AD48,8/(60*24),0)))</f>
        <v/>
      </c>
      <c r="V49" s="7" t="str" cm="1">
        <f t="array" ref="V49">IF(X49&gt;SUM(C$6:I$6),"",INDEX(B$10:B$29,AA49))&amp;IF(R49="","",";OVT")&amp;IF(S49="","",";Pay OVT Addition")</f>
        <v/>
      </c>
      <c r="W49" s="11" t="str">
        <f t="shared" si="9"/>
        <v/>
      </c>
      <c r="X49" s="7">
        <v>40</v>
      </c>
      <c r="Y49" s="7" t="str">
        <f t="shared" si="10"/>
        <v/>
      </c>
      <c r="Z49" s="7" t="str">
        <f t="shared" si="11"/>
        <v/>
      </c>
      <c r="AA49" s="7" t="str">
        <f t="shared" si="12"/>
        <v/>
      </c>
      <c r="AB49" s="8" t="str" cm="1">
        <f t="array" ref="AB49">IF(X49&gt;SUM(C$6:I$6),"",INDEX(C$10:I$29,AA49,Y49))</f>
        <v/>
      </c>
      <c r="AC49" s="13" t="str">
        <f>IF(X49&gt;SUM(C$6:I$6),"",AND(SUMIF(Y$10:Y49,Y49,AB$10:AB49)-AB49&lt;4,SUMIF(Y$10:Y49,Y49,AB$10:AB49)&gt;=4))</f>
        <v/>
      </c>
      <c r="AD49" s="13" t="str">
        <f t="shared" si="13"/>
        <v/>
      </c>
      <c r="AE49" s="13" t="str">
        <f t="shared" si="14"/>
        <v/>
      </c>
    </row>
    <row r="50" spans="18:31" x14ac:dyDescent="0.25">
      <c r="R50" s="12"/>
      <c r="S50" s="12"/>
      <c r="T50" s="10" t="str" cm="1">
        <f t="array" ref="T50">IF(OR(X50&gt;SUM(C$6:I$6),Y49=Y50),"",INDEX(C$8:I$8,Y50))</f>
        <v/>
      </c>
      <c r="U50" s="11" t="str" cm="1">
        <f t="array" ref="U50">IF(X50&gt;SUM(C$6:I$6),"",IF(Z50=1,INDEX(C$5:I$5,Y50),U49+AB49/24+IF(AC49,0.5/24,0)+IF(AD49,8/(60*24),0)))</f>
        <v/>
      </c>
      <c r="V50" s="7" t="str" cm="1">
        <f t="array" ref="V50">IF(X50&gt;SUM(C$6:I$6),"",INDEX(B$10:B$29,AA50))&amp;IF(R50="","",";OVT")&amp;IF(S50="","",";Pay OVT Addition")</f>
        <v/>
      </c>
      <c r="W50" s="11" t="str">
        <f t="shared" si="9"/>
        <v/>
      </c>
      <c r="X50" s="7">
        <v>41</v>
      </c>
      <c r="Y50" s="7" t="str">
        <f t="shared" si="10"/>
        <v/>
      </c>
      <c r="Z50" s="7" t="str">
        <f t="shared" si="11"/>
        <v/>
      </c>
      <c r="AA50" s="7" t="str">
        <f t="shared" si="12"/>
        <v/>
      </c>
      <c r="AB50" s="8" t="str" cm="1">
        <f t="array" ref="AB50">IF(X50&gt;SUM(C$6:I$6),"",INDEX(C$10:I$29,AA50,Y50))</f>
        <v/>
      </c>
      <c r="AC50" s="13" t="str">
        <f>IF(X50&gt;SUM(C$6:I$6),"",AND(SUMIF(Y$10:Y50,Y50,AB$10:AB50)-AB50&lt;4,SUMIF(Y$10:Y50,Y50,AB$10:AB50)&gt;=4))</f>
        <v/>
      </c>
      <c r="AD50" s="13" t="str">
        <f t="shared" si="13"/>
        <v/>
      </c>
      <c r="AE50" s="13" t="str">
        <f t="shared" si="14"/>
        <v/>
      </c>
    </row>
    <row r="51" spans="18:31" x14ac:dyDescent="0.25">
      <c r="R51" s="12"/>
      <c r="S51" s="12"/>
      <c r="T51" s="10" t="str" cm="1">
        <f t="array" ref="T51">IF(OR(X51&gt;SUM(C$6:I$6),Y50=Y51),"",INDEX(C$8:I$8,Y51))</f>
        <v/>
      </c>
      <c r="U51" s="11" t="str" cm="1">
        <f t="array" ref="U51">IF(X51&gt;SUM(C$6:I$6),"",IF(Z51=1,INDEX(C$5:I$5,Y51),U50+AB50/24+IF(AC50,0.5/24,0)+IF(AD50,8/(60*24),0)))</f>
        <v/>
      </c>
      <c r="V51" s="7" t="str" cm="1">
        <f t="array" ref="V51">IF(X51&gt;SUM(C$6:I$6),"",INDEX(B$10:B$29,AA51))&amp;IF(R51="","",";OVT")&amp;IF(S51="","",";Pay OVT Addition")</f>
        <v/>
      </c>
      <c r="W51" s="11" t="str">
        <f t="shared" si="9"/>
        <v/>
      </c>
      <c r="X51" s="7">
        <v>42</v>
      </c>
      <c r="Y51" s="7" t="str">
        <f t="shared" si="10"/>
        <v/>
      </c>
      <c r="Z51" s="7" t="str">
        <f t="shared" si="11"/>
        <v/>
      </c>
      <c r="AA51" s="7" t="str">
        <f t="shared" si="12"/>
        <v/>
      </c>
      <c r="AB51" s="8" t="str" cm="1">
        <f t="array" ref="AB51">IF(X51&gt;SUM(C$6:I$6),"",INDEX(C$10:I$29,AA51,Y51))</f>
        <v/>
      </c>
      <c r="AC51" s="13" t="str">
        <f>IF(X51&gt;SUM(C$6:I$6),"",AND(SUMIF(Y$10:Y51,Y51,AB$10:AB51)-AB51&lt;4,SUMIF(Y$10:Y51,Y51,AB$10:AB51)&gt;=4))</f>
        <v/>
      </c>
      <c r="AD51" s="13" t="str">
        <f t="shared" si="13"/>
        <v/>
      </c>
      <c r="AE51" s="13" t="str">
        <f t="shared" si="14"/>
        <v/>
      </c>
    </row>
    <row r="52" spans="18:31" x14ac:dyDescent="0.25">
      <c r="R52" s="12"/>
      <c r="S52" s="12"/>
      <c r="T52" s="10" t="str" cm="1">
        <f t="array" ref="T52">IF(OR(X52&gt;SUM(C$6:I$6),Y51=Y52),"",INDEX(C$8:I$8,Y52))</f>
        <v/>
      </c>
      <c r="U52" s="11" t="str" cm="1">
        <f t="array" ref="U52">IF(X52&gt;SUM(C$6:I$6),"",IF(Z52=1,INDEX(C$5:I$5,Y52),U51+AB51/24+IF(AC51,0.5/24,0)+IF(AD51,8/(60*24),0)))</f>
        <v/>
      </c>
      <c r="V52" s="7" t="str" cm="1">
        <f t="array" ref="V52">IF(X52&gt;SUM(C$6:I$6),"",INDEX(B$10:B$29,AA52))&amp;IF(R52="","",";OVT")&amp;IF(S52="","",";Pay OVT Addition")</f>
        <v/>
      </c>
      <c r="W52" s="11" t="str">
        <f t="shared" si="9"/>
        <v/>
      </c>
      <c r="X52" s="7">
        <v>43</v>
      </c>
      <c r="Y52" s="7" t="str">
        <f t="shared" si="10"/>
        <v/>
      </c>
      <c r="Z52" s="7" t="str">
        <f t="shared" si="11"/>
        <v/>
      </c>
      <c r="AA52" s="7" t="str">
        <f t="shared" si="12"/>
        <v/>
      </c>
      <c r="AB52" s="8" t="str" cm="1">
        <f t="array" ref="AB52">IF(X52&gt;SUM(C$6:I$6),"",INDEX(C$10:I$29,AA52,Y52))</f>
        <v/>
      </c>
      <c r="AC52" s="13" t="str">
        <f>IF(X52&gt;SUM(C$6:I$6),"",AND(SUMIF(Y$10:Y52,Y52,AB$10:AB52)-AB52&lt;4,SUMIF(Y$10:Y52,Y52,AB$10:AB52)&gt;=4))</f>
        <v/>
      </c>
      <c r="AD52" s="13" t="str">
        <f t="shared" si="13"/>
        <v/>
      </c>
      <c r="AE52" s="13" t="str">
        <f t="shared" si="14"/>
        <v/>
      </c>
    </row>
    <row r="53" spans="18:31" x14ac:dyDescent="0.25">
      <c r="R53" s="12"/>
      <c r="S53" s="12"/>
      <c r="T53" s="10" t="str" cm="1">
        <f t="array" ref="T53">IF(OR(X53&gt;SUM(C$6:I$6),Y52=Y53),"",INDEX(C$8:I$8,Y53))</f>
        <v/>
      </c>
      <c r="U53" s="11" t="str" cm="1">
        <f t="array" ref="U53">IF(X53&gt;SUM(C$6:I$6),"",IF(Z53=1,INDEX(C$5:I$5,Y53),U52+AB52/24+IF(AC52,0.5/24,0)+IF(AD52,8/(60*24),0)))</f>
        <v/>
      </c>
      <c r="V53" s="7" t="str" cm="1">
        <f t="array" ref="V53">IF(X53&gt;SUM(C$6:I$6),"",INDEX(B$10:B$29,AA53))&amp;IF(R53="","",";OVT")&amp;IF(S53="","",";Pay OVT Addition")</f>
        <v/>
      </c>
      <c r="W53" s="11" t="str">
        <f t="shared" si="9"/>
        <v/>
      </c>
      <c r="X53" s="7">
        <v>44</v>
      </c>
      <c r="Y53" s="7" t="str">
        <f t="shared" si="10"/>
        <v/>
      </c>
      <c r="Z53" s="7" t="str">
        <f t="shared" si="11"/>
        <v/>
      </c>
      <c r="AA53" s="7" t="str">
        <f t="shared" si="12"/>
        <v/>
      </c>
      <c r="AB53" s="8" t="str" cm="1">
        <f t="array" ref="AB53">IF(X53&gt;SUM(C$6:I$6),"",INDEX(C$10:I$29,AA53,Y53))</f>
        <v/>
      </c>
      <c r="AC53" s="13" t="str">
        <f>IF(X53&gt;SUM(C$6:I$6),"",AND(SUMIF(Y$10:Y53,Y53,AB$10:AB53)-AB53&lt;4,SUMIF(Y$10:Y53,Y53,AB$10:AB53)&gt;=4))</f>
        <v/>
      </c>
      <c r="AD53" s="13" t="str">
        <f t="shared" si="13"/>
        <v/>
      </c>
      <c r="AE53" s="13" t="str">
        <f t="shared" si="14"/>
        <v/>
      </c>
    </row>
    <row r="54" spans="18:31" x14ac:dyDescent="0.25">
      <c r="R54" s="12"/>
      <c r="S54" s="12"/>
      <c r="T54" s="10" t="str" cm="1">
        <f t="array" ref="T54">IF(OR(X54&gt;SUM(C$6:I$6),Y53=Y54),"",INDEX(C$8:I$8,Y54))</f>
        <v/>
      </c>
      <c r="U54" s="11" t="str" cm="1">
        <f t="array" ref="U54">IF(X54&gt;SUM(C$6:I$6),"",IF(Z54=1,INDEX(C$5:I$5,Y54),U53+AB53/24+IF(AC53,0.5/24,0)+IF(AD53,8/(60*24),0)))</f>
        <v/>
      </c>
      <c r="V54" s="7" t="str" cm="1">
        <f t="array" ref="V54">IF(X54&gt;SUM(C$6:I$6),"",INDEX(B$10:B$29,AA54))&amp;IF(R54="","",";OVT")&amp;IF(S54="","",";Pay OVT Addition")</f>
        <v/>
      </c>
      <c r="W54" s="11" t="str">
        <f t="shared" si="9"/>
        <v/>
      </c>
      <c r="X54" s="7">
        <v>45</v>
      </c>
      <c r="Y54" s="7" t="str">
        <f t="shared" si="10"/>
        <v/>
      </c>
      <c r="Z54" s="7" t="str">
        <f t="shared" si="11"/>
        <v/>
      </c>
      <c r="AA54" s="7" t="str">
        <f t="shared" si="12"/>
        <v/>
      </c>
      <c r="AB54" s="8" t="str" cm="1">
        <f t="array" ref="AB54">IF(X54&gt;SUM(C$6:I$6),"",INDEX(C$10:I$29,AA54,Y54))</f>
        <v/>
      </c>
      <c r="AC54" s="13" t="str">
        <f>IF(X54&gt;SUM(C$6:I$6),"",AND(SUMIF(Y$10:Y54,Y54,AB$10:AB54)-AB54&lt;4,SUMIF(Y$10:Y54,Y54,AB$10:AB54)&gt;=4))</f>
        <v/>
      </c>
      <c r="AD54" s="13" t="str">
        <f t="shared" si="13"/>
        <v/>
      </c>
      <c r="AE54" s="13" t="str">
        <f t="shared" si="14"/>
        <v/>
      </c>
    </row>
    <row r="55" spans="18:31" x14ac:dyDescent="0.25">
      <c r="R55" s="12"/>
      <c r="S55" s="12"/>
      <c r="T55" s="10" t="str" cm="1">
        <f t="array" ref="T55">IF(OR(X55&gt;SUM(C$6:I$6),Y54=Y55),"",INDEX(C$8:I$8,Y55))</f>
        <v/>
      </c>
      <c r="U55" s="11" t="str" cm="1">
        <f t="array" ref="U55">IF(X55&gt;SUM(C$6:I$6),"",IF(Z55=1,INDEX(C$5:I$5,Y55),U54+AB54/24+IF(AC54,0.5/24,0)+IF(AD54,8/(60*24),0)))</f>
        <v/>
      </c>
      <c r="V55" s="7" t="str" cm="1">
        <f t="array" ref="V55">IF(X55&gt;SUM(C$6:I$6),"",INDEX(B$10:B$29,AA55))&amp;IF(R55="","",";OVT")&amp;IF(S55="","",";Pay OVT Addition")</f>
        <v/>
      </c>
      <c r="W55" s="11" t="str">
        <f t="shared" si="9"/>
        <v/>
      </c>
      <c r="X55" s="7">
        <v>46</v>
      </c>
      <c r="Y55" s="7" t="str">
        <f t="shared" si="10"/>
        <v/>
      </c>
      <c r="Z55" s="7" t="str">
        <f t="shared" si="11"/>
        <v/>
      </c>
      <c r="AA55" s="7" t="str">
        <f t="shared" si="12"/>
        <v/>
      </c>
      <c r="AB55" s="8" t="str" cm="1">
        <f t="array" ref="AB55">IF(X55&gt;SUM(C$6:I$6),"",INDEX(C$10:I$29,AA55,Y55))</f>
        <v/>
      </c>
      <c r="AC55" s="13" t="str">
        <f>IF(X55&gt;SUM(C$6:I$6),"",AND(SUMIF(Y$10:Y55,Y55,AB$10:AB55)-AB55&lt;4,SUMIF(Y$10:Y55,Y55,AB$10:AB55)&gt;=4))</f>
        <v/>
      </c>
      <c r="AD55" s="13" t="str">
        <f t="shared" si="13"/>
        <v/>
      </c>
      <c r="AE55" s="13" t="str">
        <f t="shared" si="14"/>
        <v/>
      </c>
    </row>
    <row r="56" spans="18:31" x14ac:dyDescent="0.25">
      <c r="R56" s="12"/>
      <c r="S56" s="12"/>
      <c r="T56" s="10" t="str" cm="1">
        <f t="array" ref="T56">IF(OR(X56&gt;SUM(C$6:I$6),Y55=Y56),"",INDEX(C$8:I$8,Y56))</f>
        <v/>
      </c>
      <c r="U56" s="11" t="str" cm="1">
        <f t="array" ref="U56">IF(X56&gt;SUM(C$6:I$6),"",IF(Z56=1,INDEX(C$5:I$5,Y56),U55+AB55/24+IF(AC55,0.5/24,0)+IF(AD55,8/(60*24),0)))</f>
        <v/>
      </c>
      <c r="V56" s="7" t="str" cm="1">
        <f t="array" ref="V56">IF(X56&gt;SUM(C$6:I$6),"",INDEX(B$10:B$29,AA56))&amp;IF(R56="","",";OVT")&amp;IF(S56="","",";Pay OVT Addition")</f>
        <v/>
      </c>
      <c r="W56" s="11" t="str">
        <f t="shared" si="9"/>
        <v/>
      </c>
      <c r="X56" s="7">
        <v>47</v>
      </c>
      <c r="Y56" s="7" t="str">
        <f t="shared" si="10"/>
        <v/>
      </c>
      <c r="Z56" s="7" t="str">
        <f t="shared" si="11"/>
        <v/>
      </c>
      <c r="AA56" s="7" t="str">
        <f t="shared" si="12"/>
        <v/>
      </c>
      <c r="AB56" s="8" t="str" cm="1">
        <f t="array" ref="AB56">IF(X56&gt;SUM(C$6:I$6),"",INDEX(C$10:I$29,AA56,Y56))</f>
        <v/>
      </c>
      <c r="AC56" s="13" t="str">
        <f>IF(X56&gt;SUM(C$6:I$6),"",AND(SUMIF(Y$10:Y56,Y56,AB$10:AB56)-AB56&lt;4,SUMIF(Y$10:Y56,Y56,AB$10:AB56)&gt;=4))</f>
        <v/>
      </c>
      <c r="AD56" s="13" t="str">
        <f t="shared" si="13"/>
        <v/>
      </c>
      <c r="AE56" s="13" t="str">
        <f t="shared" si="14"/>
        <v/>
      </c>
    </row>
    <row r="57" spans="18:31" x14ac:dyDescent="0.25">
      <c r="R57" s="12"/>
      <c r="S57" s="12"/>
      <c r="T57" s="10" t="str" cm="1">
        <f t="array" ref="T57">IF(OR(X57&gt;SUM(C$6:I$6),Y56=Y57),"",INDEX(C$8:I$8,Y57))</f>
        <v/>
      </c>
      <c r="U57" s="11" t="str" cm="1">
        <f t="array" ref="U57">IF(X57&gt;SUM(C$6:I$6),"",IF(Z57=1,INDEX(C$5:I$5,Y57),U56+AB56/24+IF(AC56,0.5/24,0)+IF(AD56,8/(60*24),0)))</f>
        <v/>
      </c>
      <c r="V57" s="7" t="str" cm="1">
        <f t="array" ref="V57">IF(X57&gt;SUM(C$6:I$6),"",INDEX(B$10:B$29,AA57))&amp;IF(R57="","",";OVT")&amp;IF(S57="","",";Pay OVT Addition")</f>
        <v/>
      </c>
      <c r="W57" s="11" t="str">
        <f t="shared" si="9"/>
        <v/>
      </c>
      <c r="X57" s="7">
        <v>48</v>
      </c>
      <c r="Y57" s="7" t="str">
        <f t="shared" si="10"/>
        <v/>
      </c>
      <c r="Z57" s="7" t="str">
        <f t="shared" si="11"/>
        <v/>
      </c>
      <c r="AA57" s="7" t="str">
        <f>IF(X57&gt;SUM(C$6:I$6),"",MATCH(Z57,CHOOSE(Y57,J$10:J$29,K$10:K$29,L$10:L$29,M$10:M$29,N$10:N$29,O$10:O$29,P$10:P$29),0))</f>
        <v/>
      </c>
      <c r="AB57" s="8" t="str" cm="1">
        <f t="array" ref="AB57">IF(X57&gt;SUM(C$6:I$6),"",INDEX(C$10:I$29,AA57,Y57))</f>
        <v/>
      </c>
      <c r="AC57" s="13" t="str">
        <f>IF(X57&gt;SUM(C$6:I$6),"",AND(SUMIF(Y$10:Y57,Y57,AB$10:AB57)-AB57&lt;4,SUMIF(Y$10:Y57,Y57,AB$10:AB57)&gt;=4))</f>
        <v/>
      </c>
      <c r="AD57" s="13" t="str">
        <f t="shared" si="13"/>
        <v/>
      </c>
      <c r="AE57" s="13" t="str">
        <f t="shared" si="14"/>
        <v/>
      </c>
    </row>
    <row r="58" spans="18:31" x14ac:dyDescent="0.25">
      <c r="R58" s="12"/>
      <c r="S58" s="12"/>
      <c r="T58" s="10" t="str" cm="1">
        <f t="array" ref="T58">IF(OR(X58&gt;SUM(C$6:I$6),Y57=Y58),"",INDEX(C$8:I$8,Y58))</f>
        <v/>
      </c>
      <c r="U58" s="11" t="str" cm="1">
        <f t="array" ref="U58">IF(X58&gt;SUM(C$6:I$6),"",IF(Z58=1,INDEX(C$5:I$5,Y58),U57+AB57/24+IF(AC57,0.5/24,0)+IF(AD57,8/(60*24),0)))</f>
        <v/>
      </c>
      <c r="V58" s="7" t="str" cm="1">
        <f t="array" ref="V58">IF(X58&gt;SUM(C$6:I$6),"",INDEX(B$10:B$29,AA58))&amp;IF(R58="","",";OVT")&amp;IF(S58="","",";Pay OVT Addition")</f>
        <v/>
      </c>
      <c r="W58" s="11" t="str">
        <f t="shared" ref="W58:W84" si="15">IF(OR(X58&gt;SUM(C$6:I$6),Y58=Y59),"",U58+AB58/24+IF(AC58,0.5/24,0)+IF(AD58,8/(60*24),0))</f>
        <v/>
      </c>
      <c r="X58" s="7">
        <v>49</v>
      </c>
      <c r="Y58" s="7" t="str">
        <f t="shared" ref="Y58:Y84" si="16">IF(X58&gt;SUM(C$6:I$6),"",MATCH(X58-1,J$6:P$6,1))</f>
        <v/>
      </c>
      <c r="Z58" s="7" t="str">
        <f t="shared" ref="Z58:Z84" si="17">IF(X58&gt;SUM(C$6:I$6),"",IF(Y58=Y57,Z57+1,1))</f>
        <v/>
      </c>
      <c r="AA58" s="7" t="str">
        <f t="shared" ref="AA58:AA71" si="18">IF(X58&gt;SUM(C$6:I$6),"",MATCH(Z58,CHOOSE(Y58,J$10:J$29,K$10:K$29,L$10:L$29,M$10:M$29,N$10:N$29,O$10:O$29,P$10:P$29),0))</f>
        <v/>
      </c>
      <c r="AB58" s="8" t="str" cm="1">
        <f t="array" ref="AB58">IF(X58&gt;SUM(C$6:I$6),"",INDEX(C$10:I$29,AA58,Y58))</f>
        <v/>
      </c>
      <c r="AC58" s="13" t="str">
        <f>IF(X58&gt;SUM(C$6:I$6),"",AND(SUMIF(Y$10:Y58,Y58,AB$10:AB58)-AB58&lt;4,SUMIF(Y$10:Y58,Y58,AB$10:AB58)&gt;=4))</f>
        <v/>
      </c>
      <c r="AD58" s="13" t="str">
        <f t="shared" ref="AD58:AD84" si="19">IF(X58&gt;SUM(C$6:I$6),"",AND($C$4,Z58=1))</f>
        <v/>
      </c>
      <c r="AE58" s="13" t="str">
        <f t="shared" ref="AE58:AE84" si="20">IF(X58&gt;SUM(C$6:I$6),"",OR(SUMIF(Y$10:Y$39,Y58,AB$10:AB$39)&gt;7.5,Y58&gt;5,_xlfn.MAXIFS(W$10:W$39,Y$10:Y$39,Y58)&gt;21/24))</f>
        <v/>
      </c>
    </row>
    <row r="59" spans="18:31" x14ac:dyDescent="0.25">
      <c r="R59" s="12"/>
      <c r="S59" s="12"/>
      <c r="T59" s="10" t="str" cm="1">
        <f t="array" ref="T59">IF(OR(X59&gt;SUM(C$6:I$6),Y58=Y59),"",INDEX(C$8:I$8,Y59))</f>
        <v/>
      </c>
      <c r="U59" s="11" t="str" cm="1">
        <f t="array" ref="U59">IF(X59&gt;SUM(C$6:I$6),"",IF(Z59=1,INDEX(C$5:I$5,Y59),U58+AB58/24+IF(AC58,0.5/24,0)+IF(AD58,8/(60*24),0)))</f>
        <v/>
      </c>
      <c r="V59" s="7" t="str" cm="1">
        <f t="array" ref="V59">IF(X59&gt;SUM(C$6:I$6),"",INDEX(B$10:B$29,AA59))&amp;IF(R59="","",";OVT")&amp;IF(S59="","",";Pay OVT Addition")</f>
        <v/>
      </c>
      <c r="W59" s="11" t="str">
        <f t="shared" si="15"/>
        <v/>
      </c>
      <c r="X59" s="7">
        <v>50</v>
      </c>
      <c r="Y59" s="7" t="str">
        <f t="shared" si="16"/>
        <v/>
      </c>
      <c r="Z59" s="7" t="str">
        <f t="shared" si="17"/>
        <v/>
      </c>
      <c r="AA59" s="7" t="str">
        <f t="shared" si="18"/>
        <v/>
      </c>
      <c r="AB59" s="8" t="str" cm="1">
        <f t="array" ref="AB59">IF(X59&gt;SUM(C$6:I$6),"",INDEX(C$10:I$29,AA59,Y59))</f>
        <v/>
      </c>
      <c r="AC59" s="13" t="str">
        <f>IF(X59&gt;SUM(C$6:I$6),"",AND(SUMIF(Y$10:Y59,Y59,AB$10:AB59)-AB59&lt;4,SUMIF(Y$10:Y59,Y59,AB$10:AB59)&gt;=4))</f>
        <v/>
      </c>
      <c r="AD59" s="13" t="str">
        <f t="shared" si="19"/>
        <v/>
      </c>
      <c r="AE59" s="13" t="str">
        <f t="shared" si="20"/>
        <v/>
      </c>
    </row>
    <row r="60" spans="18:31" x14ac:dyDescent="0.25">
      <c r="R60" s="12"/>
      <c r="S60" s="12"/>
      <c r="T60" s="10" t="str" cm="1">
        <f t="array" ref="T60">IF(OR(X60&gt;SUM(C$6:I$6),Y59=Y60),"",INDEX(C$8:I$8,Y60))</f>
        <v/>
      </c>
      <c r="U60" s="11" t="str" cm="1">
        <f t="array" ref="U60">IF(X60&gt;SUM(C$6:I$6),"",IF(Z60=1,INDEX(C$5:I$5,Y60),U59+AB59/24+IF(AC59,0.5/24,0)+IF(AD59,8/(60*24),0)))</f>
        <v/>
      </c>
      <c r="V60" s="7" t="str" cm="1">
        <f t="array" ref="V60">IF(X60&gt;SUM(C$6:I$6),"",INDEX(B$10:B$29,AA60))&amp;IF(R60="","",";OVT")&amp;IF(S60="","",";Pay OVT Addition")</f>
        <v/>
      </c>
      <c r="W60" s="11" t="str">
        <f t="shared" si="15"/>
        <v/>
      </c>
      <c r="X60" s="7">
        <v>51</v>
      </c>
      <c r="Y60" s="7" t="str">
        <f t="shared" si="16"/>
        <v/>
      </c>
      <c r="Z60" s="7" t="str">
        <f t="shared" si="17"/>
        <v/>
      </c>
      <c r="AA60" s="7" t="str">
        <f t="shared" si="18"/>
        <v/>
      </c>
      <c r="AB60" s="8" t="str" cm="1">
        <f t="array" ref="AB60">IF(X60&gt;SUM(C$6:I$6),"",INDEX(C$10:I$29,AA60,Y60))</f>
        <v/>
      </c>
      <c r="AC60" s="13" t="str">
        <f>IF(X60&gt;SUM(C$6:I$6),"",AND(SUMIF(Y$10:Y60,Y60,AB$10:AB60)-AB60&lt;4,SUMIF(Y$10:Y60,Y60,AB$10:AB60)&gt;=4))</f>
        <v/>
      </c>
      <c r="AD60" s="13" t="str">
        <f t="shared" si="19"/>
        <v/>
      </c>
      <c r="AE60" s="13" t="str">
        <f t="shared" si="20"/>
        <v/>
      </c>
    </row>
    <row r="61" spans="18:31" x14ac:dyDescent="0.25">
      <c r="R61" s="12"/>
      <c r="S61" s="12"/>
      <c r="T61" s="10" t="str" cm="1">
        <f t="array" ref="T61">IF(OR(X61&gt;SUM(C$6:I$6),Y60=Y61),"",INDEX(C$8:I$8,Y61))</f>
        <v/>
      </c>
      <c r="U61" s="11" t="str" cm="1">
        <f t="array" ref="U61">IF(X61&gt;SUM(C$6:I$6),"",IF(Z61=1,INDEX(C$5:I$5,Y61),U60+AB60/24+IF(AC60,0.5/24,0)+IF(AD60,8/(60*24),0)))</f>
        <v/>
      </c>
      <c r="V61" s="7" t="str" cm="1">
        <f t="array" ref="V61">IF(X61&gt;SUM(C$6:I$6),"",INDEX(B$10:B$29,AA61))&amp;IF(R61="","",";OVT")&amp;IF(S61="","",";Pay OVT Addition")</f>
        <v/>
      </c>
      <c r="W61" s="11" t="str">
        <f t="shared" si="15"/>
        <v/>
      </c>
      <c r="X61" s="7">
        <v>52</v>
      </c>
      <c r="Y61" s="7" t="str">
        <f t="shared" si="16"/>
        <v/>
      </c>
      <c r="Z61" s="7" t="str">
        <f t="shared" si="17"/>
        <v/>
      </c>
      <c r="AA61" s="7" t="str">
        <f t="shared" si="18"/>
        <v/>
      </c>
      <c r="AB61" s="8" t="str" cm="1">
        <f t="array" ref="AB61">IF(X61&gt;SUM(C$6:I$6),"",INDEX(C$10:I$29,AA61,Y61))</f>
        <v/>
      </c>
      <c r="AC61" s="13" t="str">
        <f>IF(X61&gt;SUM(C$6:I$6),"",AND(SUMIF(Y$10:Y61,Y61,AB$10:AB61)-AB61&lt;4,SUMIF(Y$10:Y61,Y61,AB$10:AB61)&gt;=4))</f>
        <v/>
      </c>
      <c r="AD61" s="13" t="str">
        <f t="shared" si="19"/>
        <v/>
      </c>
      <c r="AE61" s="13" t="str">
        <f t="shared" si="20"/>
        <v/>
      </c>
    </row>
    <row r="62" spans="18:31" x14ac:dyDescent="0.25">
      <c r="R62" s="12"/>
      <c r="S62" s="12"/>
      <c r="T62" s="10" t="str" cm="1">
        <f t="array" ref="T62">IF(OR(X62&gt;SUM(C$6:I$6),Y61=Y62),"",INDEX(C$8:I$8,Y62))</f>
        <v/>
      </c>
      <c r="U62" s="11" t="str" cm="1">
        <f t="array" ref="U62">IF(X62&gt;SUM(C$6:I$6),"",IF(Z62=1,INDEX(C$5:I$5,Y62),U61+AB61/24+IF(AC61,0.5/24,0)+IF(AD61,8/(60*24),0)))</f>
        <v/>
      </c>
      <c r="V62" s="7" t="str" cm="1">
        <f t="array" ref="V62">IF(X62&gt;SUM(C$6:I$6),"",INDEX(B$10:B$29,AA62))&amp;IF(R62="","",";OVT")&amp;IF(S62="","",";Pay OVT Addition")</f>
        <v/>
      </c>
      <c r="W62" s="11" t="str">
        <f t="shared" si="15"/>
        <v/>
      </c>
      <c r="X62" s="7">
        <v>53</v>
      </c>
      <c r="Y62" s="7" t="str">
        <f t="shared" si="16"/>
        <v/>
      </c>
      <c r="Z62" s="7" t="str">
        <f t="shared" si="17"/>
        <v/>
      </c>
      <c r="AA62" s="7" t="str">
        <f t="shared" si="18"/>
        <v/>
      </c>
      <c r="AB62" s="8" t="str" cm="1">
        <f t="array" ref="AB62">IF(X62&gt;SUM(C$6:I$6),"",INDEX(C$10:I$29,AA62,Y62))</f>
        <v/>
      </c>
      <c r="AC62" s="13" t="str">
        <f>IF(X62&gt;SUM(C$6:I$6),"",AND(SUMIF(Y$10:Y62,Y62,AB$10:AB62)-AB62&lt;4,SUMIF(Y$10:Y62,Y62,AB$10:AB62)&gt;=4))</f>
        <v/>
      </c>
      <c r="AD62" s="13" t="str">
        <f t="shared" si="19"/>
        <v/>
      </c>
      <c r="AE62" s="13" t="str">
        <f t="shared" si="20"/>
        <v/>
      </c>
    </row>
    <row r="63" spans="18:31" x14ac:dyDescent="0.25">
      <c r="R63" s="12"/>
      <c r="S63" s="12"/>
      <c r="T63" s="10" t="str" cm="1">
        <f t="array" ref="T63">IF(OR(X63&gt;SUM(C$6:I$6),Y62=Y63),"",INDEX(C$8:I$8,Y63))</f>
        <v/>
      </c>
      <c r="U63" s="11" t="str" cm="1">
        <f t="array" ref="U63">IF(X63&gt;SUM(C$6:I$6),"",IF(Z63=1,INDEX(C$5:I$5,Y63),U62+AB62/24+IF(AC62,0.5/24,0)+IF(AD62,8/(60*24),0)))</f>
        <v/>
      </c>
      <c r="V63" s="7" t="str" cm="1">
        <f t="array" ref="V63">IF(X63&gt;SUM(C$6:I$6),"",INDEX(B$10:B$29,AA63))&amp;IF(R63="","",";OVT")&amp;IF(S63="","",";Pay OVT Addition")</f>
        <v/>
      </c>
      <c r="W63" s="11" t="str">
        <f t="shared" si="15"/>
        <v/>
      </c>
      <c r="X63" s="7">
        <v>54</v>
      </c>
      <c r="Y63" s="7" t="str">
        <f t="shared" si="16"/>
        <v/>
      </c>
      <c r="Z63" s="7" t="str">
        <f t="shared" si="17"/>
        <v/>
      </c>
      <c r="AA63" s="7" t="str">
        <f t="shared" si="18"/>
        <v/>
      </c>
      <c r="AB63" s="8" t="str" cm="1">
        <f t="array" ref="AB63">IF(X63&gt;SUM(C$6:I$6),"",INDEX(C$10:I$29,AA63,Y63))</f>
        <v/>
      </c>
      <c r="AC63" s="13" t="str">
        <f>IF(X63&gt;SUM(C$6:I$6),"",AND(SUMIF(Y$10:Y63,Y63,AB$10:AB63)-AB63&lt;4,SUMIF(Y$10:Y63,Y63,AB$10:AB63)&gt;=4))</f>
        <v/>
      </c>
      <c r="AD63" s="13" t="str">
        <f t="shared" si="19"/>
        <v/>
      </c>
      <c r="AE63" s="13" t="str">
        <f t="shared" si="20"/>
        <v/>
      </c>
    </row>
    <row r="64" spans="18:31" x14ac:dyDescent="0.25">
      <c r="R64" s="12"/>
      <c r="S64" s="12"/>
      <c r="T64" s="10" t="str" cm="1">
        <f t="array" ref="T64">IF(OR(X64&gt;SUM(C$6:I$6),Y63=Y64),"",INDEX(C$8:I$8,Y64))</f>
        <v/>
      </c>
      <c r="U64" s="11" t="str" cm="1">
        <f t="array" ref="U64">IF(X64&gt;SUM(C$6:I$6),"",IF(Z64=1,INDEX(C$5:I$5,Y64),U63+AB63/24+IF(AC63,0.5/24,0)+IF(AD63,8/(60*24),0)))</f>
        <v/>
      </c>
      <c r="V64" s="7" t="str" cm="1">
        <f t="array" ref="V64">IF(X64&gt;SUM(C$6:I$6),"",INDEX(B$10:B$29,AA64))&amp;IF(R64="","",";OVT")&amp;IF(S64="","",";Pay OVT Addition")</f>
        <v/>
      </c>
      <c r="W64" s="11" t="str">
        <f t="shared" si="15"/>
        <v/>
      </c>
      <c r="X64" s="7">
        <v>55</v>
      </c>
      <c r="Y64" s="7" t="str">
        <f t="shared" si="16"/>
        <v/>
      </c>
      <c r="Z64" s="7" t="str">
        <f t="shared" si="17"/>
        <v/>
      </c>
      <c r="AA64" s="7" t="str">
        <f t="shared" si="18"/>
        <v/>
      </c>
      <c r="AB64" s="8" t="str" cm="1">
        <f t="array" ref="AB64">IF(X64&gt;SUM(C$6:I$6),"",INDEX(C$10:I$29,AA64,Y64))</f>
        <v/>
      </c>
      <c r="AC64" s="13" t="str">
        <f>IF(X64&gt;SUM(C$6:I$6),"",AND(SUMIF(Y$10:Y64,Y64,AB$10:AB64)-AB64&lt;4,SUMIF(Y$10:Y64,Y64,AB$10:AB64)&gt;=4))</f>
        <v/>
      </c>
      <c r="AD64" s="13" t="str">
        <f t="shared" si="19"/>
        <v/>
      </c>
      <c r="AE64" s="13" t="str">
        <f t="shared" si="20"/>
        <v/>
      </c>
    </row>
    <row r="65" spans="18:31" x14ac:dyDescent="0.25">
      <c r="R65" s="12"/>
      <c r="S65" s="12"/>
      <c r="T65" s="10" t="str" cm="1">
        <f t="array" ref="T65">IF(OR(X65&gt;SUM(C$6:I$6),Y64=Y65),"",INDEX(C$8:I$8,Y65))</f>
        <v/>
      </c>
      <c r="U65" s="11" t="str" cm="1">
        <f t="array" ref="U65">IF(X65&gt;SUM(C$6:I$6),"",IF(Z65=1,INDEX(C$5:I$5,Y65),U64+AB64/24+IF(AC64,0.5/24,0)+IF(AD64,8/(60*24),0)))</f>
        <v/>
      </c>
      <c r="V65" s="7" t="str" cm="1">
        <f t="array" ref="V65">IF(X65&gt;SUM(C$6:I$6),"",INDEX(B$10:B$29,AA65))&amp;IF(R65="","",";OVT")&amp;IF(S65="","",";Pay OVT Addition")</f>
        <v/>
      </c>
      <c r="W65" s="11" t="str">
        <f t="shared" si="15"/>
        <v/>
      </c>
      <c r="X65" s="7">
        <v>56</v>
      </c>
      <c r="Y65" s="7" t="str">
        <f t="shared" si="16"/>
        <v/>
      </c>
      <c r="Z65" s="7" t="str">
        <f t="shared" si="17"/>
        <v/>
      </c>
      <c r="AA65" s="7" t="str">
        <f t="shared" si="18"/>
        <v/>
      </c>
      <c r="AB65" s="8" t="str" cm="1">
        <f t="array" ref="AB65">IF(X65&gt;SUM(C$6:I$6),"",INDEX(C$10:I$29,AA65,Y65))</f>
        <v/>
      </c>
      <c r="AC65" s="13" t="str">
        <f>IF(X65&gt;SUM(C$6:I$6),"",AND(SUMIF(Y$10:Y65,Y65,AB$10:AB65)-AB65&lt;4,SUMIF(Y$10:Y65,Y65,AB$10:AB65)&gt;=4))</f>
        <v/>
      </c>
      <c r="AD65" s="13" t="str">
        <f t="shared" si="19"/>
        <v/>
      </c>
      <c r="AE65" s="13" t="str">
        <f t="shared" si="20"/>
        <v/>
      </c>
    </row>
    <row r="66" spans="18:31" x14ac:dyDescent="0.25">
      <c r="R66" s="12"/>
      <c r="S66" s="12"/>
      <c r="T66" s="10" t="str" cm="1">
        <f t="array" ref="T66">IF(OR(X66&gt;SUM(C$6:I$6),Y65=Y66),"",INDEX(C$8:I$8,Y66))</f>
        <v/>
      </c>
      <c r="U66" s="11" t="str" cm="1">
        <f t="array" ref="U66">IF(X66&gt;SUM(C$6:I$6),"",IF(Z66=1,INDEX(C$5:I$5,Y66),U65+AB65/24+IF(AC65,0.5/24,0)+IF(AD65,8/(60*24),0)))</f>
        <v/>
      </c>
      <c r="V66" s="7" t="str" cm="1">
        <f t="array" ref="V66">IF(X66&gt;SUM(C$6:I$6),"",INDEX(B$10:B$29,AA66))&amp;IF(R66="","",";OVT")&amp;IF(S66="","",";Pay OVT Addition")</f>
        <v/>
      </c>
      <c r="W66" s="11" t="str">
        <f t="shared" si="15"/>
        <v/>
      </c>
      <c r="X66" s="7">
        <v>57</v>
      </c>
      <c r="Y66" s="7" t="str">
        <f t="shared" si="16"/>
        <v/>
      </c>
      <c r="Z66" s="7" t="str">
        <f t="shared" si="17"/>
        <v/>
      </c>
      <c r="AA66" s="7" t="str">
        <f t="shared" si="18"/>
        <v/>
      </c>
      <c r="AB66" s="8" t="str" cm="1">
        <f t="array" ref="AB66">IF(X66&gt;SUM(C$6:I$6),"",INDEX(C$10:I$29,AA66,Y66))</f>
        <v/>
      </c>
      <c r="AC66" s="13" t="str">
        <f>IF(X66&gt;SUM(C$6:I$6),"",AND(SUMIF(Y$10:Y66,Y66,AB$10:AB66)-AB66&lt;4,SUMIF(Y$10:Y66,Y66,AB$10:AB66)&gt;=4))</f>
        <v/>
      </c>
      <c r="AD66" s="13" t="str">
        <f t="shared" si="19"/>
        <v/>
      </c>
      <c r="AE66" s="13" t="str">
        <f t="shared" si="20"/>
        <v/>
      </c>
    </row>
    <row r="67" spans="18:31" x14ac:dyDescent="0.25">
      <c r="R67" s="12"/>
      <c r="S67" s="12"/>
      <c r="T67" s="10" t="str" cm="1">
        <f t="array" ref="T67">IF(OR(X67&gt;SUM(C$6:I$6),Y66=Y67),"",INDEX(C$8:I$8,Y67))</f>
        <v/>
      </c>
      <c r="U67" s="11" t="str" cm="1">
        <f t="array" ref="U67">IF(X67&gt;SUM(C$6:I$6),"",IF(Z67=1,INDEX(C$5:I$5,Y67),U66+AB66/24+IF(AC66,0.5/24,0)+IF(AD66,8/(60*24),0)))</f>
        <v/>
      </c>
      <c r="V67" s="7" t="str" cm="1">
        <f t="array" ref="V67">IF(X67&gt;SUM(C$6:I$6),"",INDEX(B$10:B$29,AA67))&amp;IF(R67="","",";OVT")&amp;IF(S67="","",";Pay OVT Addition")</f>
        <v/>
      </c>
      <c r="W67" s="11" t="str">
        <f t="shared" si="15"/>
        <v/>
      </c>
      <c r="X67" s="7">
        <v>58</v>
      </c>
      <c r="Y67" s="7" t="str">
        <f t="shared" si="16"/>
        <v/>
      </c>
      <c r="Z67" s="7" t="str">
        <f t="shared" si="17"/>
        <v/>
      </c>
      <c r="AA67" s="7" t="str">
        <f t="shared" si="18"/>
        <v/>
      </c>
      <c r="AB67" s="8" t="str" cm="1">
        <f t="array" ref="AB67">IF(X67&gt;SUM(C$6:I$6),"",INDEX(C$10:I$29,AA67,Y67))</f>
        <v/>
      </c>
      <c r="AC67" s="13" t="str">
        <f>IF(X67&gt;SUM(C$6:I$6),"",AND(SUMIF(Y$10:Y67,Y67,AB$10:AB67)-AB67&lt;4,SUMIF(Y$10:Y67,Y67,AB$10:AB67)&gt;=4))</f>
        <v/>
      </c>
      <c r="AD67" s="13" t="str">
        <f t="shared" si="19"/>
        <v/>
      </c>
      <c r="AE67" s="13" t="str">
        <f t="shared" si="20"/>
        <v/>
      </c>
    </row>
    <row r="68" spans="18:31" x14ac:dyDescent="0.25">
      <c r="R68" s="12"/>
      <c r="S68" s="12"/>
      <c r="T68" s="10" t="str" cm="1">
        <f t="array" ref="T68">IF(OR(X68&gt;SUM(C$6:I$6),Y67=Y68),"",INDEX(C$8:I$8,Y68))</f>
        <v/>
      </c>
      <c r="U68" s="11" t="str" cm="1">
        <f t="array" ref="U68">IF(X68&gt;SUM(C$6:I$6),"",IF(Z68=1,INDEX(C$5:I$5,Y68),U67+AB67/24+IF(AC67,0.5/24,0)+IF(AD67,8/(60*24),0)))</f>
        <v/>
      </c>
      <c r="V68" s="7" t="str" cm="1">
        <f t="array" ref="V68">IF(X68&gt;SUM(C$6:I$6),"",INDEX(B$10:B$29,AA68))&amp;IF(R68="","",";OVT")&amp;IF(S68="","",";Pay OVT Addition")</f>
        <v/>
      </c>
      <c r="W68" s="11" t="str">
        <f t="shared" si="15"/>
        <v/>
      </c>
      <c r="X68" s="7">
        <v>59</v>
      </c>
      <c r="Y68" s="7" t="str">
        <f t="shared" si="16"/>
        <v/>
      </c>
      <c r="Z68" s="7" t="str">
        <f t="shared" si="17"/>
        <v/>
      </c>
      <c r="AA68" s="7" t="str">
        <f t="shared" si="18"/>
        <v/>
      </c>
      <c r="AB68" s="8" t="str" cm="1">
        <f t="array" ref="AB68">IF(X68&gt;SUM(C$6:I$6),"",INDEX(C$10:I$29,AA68,Y68))</f>
        <v/>
      </c>
      <c r="AC68" s="13" t="str">
        <f>IF(X68&gt;SUM(C$6:I$6),"",AND(SUMIF(Y$10:Y68,Y68,AB$10:AB68)-AB68&lt;4,SUMIF(Y$10:Y68,Y68,AB$10:AB68)&gt;=4))</f>
        <v/>
      </c>
      <c r="AD68" s="13" t="str">
        <f t="shared" si="19"/>
        <v/>
      </c>
      <c r="AE68" s="13" t="str">
        <f t="shared" si="20"/>
        <v/>
      </c>
    </row>
    <row r="69" spans="18:31" x14ac:dyDescent="0.25">
      <c r="R69" s="12"/>
      <c r="S69" s="12"/>
      <c r="T69" s="10" t="str" cm="1">
        <f t="array" ref="T69">IF(OR(X69&gt;SUM(C$6:I$6),Y68=Y69),"",INDEX(C$8:I$8,Y69))</f>
        <v/>
      </c>
      <c r="U69" s="11" t="str" cm="1">
        <f t="array" ref="U69">IF(X69&gt;SUM(C$6:I$6),"",IF(Z69=1,INDEX(C$5:I$5,Y69),U68+AB68/24+IF(AC68,0.5/24,0)+IF(AD68,8/(60*24),0)))</f>
        <v/>
      </c>
      <c r="V69" s="7" t="str" cm="1">
        <f t="array" ref="V69">IF(X69&gt;SUM(C$6:I$6),"",INDEX(B$10:B$29,AA69))&amp;IF(R69="","",";OVT")&amp;IF(S69="","",";Pay OVT Addition")</f>
        <v/>
      </c>
      <c r="W69" s="11" t="str">
        <f t="shared" si="15"/>
        <v/>
      </c>
      <c r="X69" s="7">
        <v>60</v>
      </c>
      <c r="Y69" s="7" t="str">
        <f t="shared" si="16"/>
        <v/>
      </c>
      <c r="Z69" s="7" t="str">
        <f t="shared" si="17"/>
        <v/>
      </c>
      <c r="AA69" s="7" t="str">
        <f t="shared" si="18"/>
        <v/>
      </c>
      <c r="AB69" s="8" t="str" cm="1">
        <f t="array" ref="AB69">IF(X69&gt;SUM(C$6:I$6),"",INDEX(C$10:I$29,AA69,Y69))</f>
        <v/>
      </c>
      <c r="AC69" s="13" t="str">
        <f>IF(X69&gt;SUM(C$6:I$6),"",AND(SUMIF(Y$10:Y69,Y69,AB$10:AB69)-AB69&lt;4,SUMIF(Y$10:Y69,Y69,AB$10:AB69)&gt;=4))</f>
        <v/>
      </c>
      <c r="AD69" s="13" t="str">
        <f t="shared" si="19"/>
        <v/>
      </c>
      <c r="AE69" s="13" t="str">
        <f t="shared" si="20"/>
        <v/>
      </c>
    </row>
    <row r="70" spans="18:31" x14ac:dyDescent="0.25">
      <c r="R70" s="12"/>
      <c r="S70" s="12"/>
      <c r="T70" s="10" t="str" cm="1">
        <f t="array" ref="T70">IF(OR(X70&gt;SUM(C$6:I$6),Y69=Y70),"",INDEX(C$8:I$8,Y70))</f>
        <v/>
      </c>
      <c r="U70" s="11" t="str" cm="1">
        <f t="array" ref="U70">IF(X70&gt;SUM(C$6:I$6),"",IF(Z70=1,INDEX(C$5:I$5,Y70),U69+AB69/24+IF(AC69,0.5/24,0)+IF(AD69,8/(60*24),0)))</f>
        <v/>
      </c>
      <c r="V70" s="7" t="str" cm="1">
        <f t="array" ref="V70">IF(X70&gt;SUM(C$6:I$6),"",INDEX(B$10:B$29,AA70))&amp;IF(R70="","",";OVT")&amp;IF(S70="","",";Pay OVT Addition")</f>
        <v/>
      </c>
      <c r="W70" s="11" t="str">
        <f t="shared" si="15"/>
        <v/>
      </c>
      <c r="X70" s="7">
        <v>61</v>
      </c>
      <c r="Y70" s="7" t="str">
        <f t="shared" si="16"/>
        <v/>
      </c>
      <c r="Z70" s="7" t="str">
        <f t="shared" si="17"/>
        <v/>
      </c>
      <c r="AA70" s="7" t="str">
        <f t="shared" si="18"/>
        <v/>
      </c>
      <c r="AB70" s="8" t="str" cm="1">
        <f t="array" ref="AB70">IF(X70&gt;SUM(C$6:I$6),"",INDEX(C$10:I$29,AA70,Y70))</f>
        <v/>
      </c>
      <c r="AC70" s="13" t="str">
        <f>IF(X70&gt;SUM(C$6:I$6),"",AND(SUMIF(Y$10:Y70,Y70,AB$10:AB70)-AB70&lt;4,SUMIF(Y$10:Y70,Y70,AB$10:AB70)&gt;=4))</f>
        <v/>
      </c>
      <c r="AD70" s="13" t="str">
        <f t="shared" si="19"/>
        <v/>
      </c>
      <c r="AE70" s="13" t="str">
        <f t="shared" si="20"/>
        <v/>
      </c>
    </row>
    <row r="71" spans="18:31" x14ac:dyDescent="0.25">
      <c r="R71" s="12"/>
      <c r="S71" s="12"/>
      <c r="T71" s="10" t="str" cm="1">
        <f t="array" ref="T71">IF(OR(X71&gt;SUM(C$6:I$6),Y70=Y71),"",INDEX(C$8:I$8,Y71))</f>
        <v/>
      </c>
      <c r="U71" s="11" t="str" cm="1">
        <f t="array" ref="U71">IF(X71&gt;SUM(C$6:I$6),"",IF(Z71=1,INDEX(C$5:I$5,Y71),U70+AB70/24+IF(AC70,0.5/24,0)+IF(AD70,8/(60*24),0)))</f>
        <v/>
      </c>
      <c r="V71" s="7" t="str" cm="1">
        <f t="array" ref="V71">IF(X71&gt;SUM(C$6:I$6),"",INDEX(B$10:B$29,AA71))&amp;IF(R71="","",";OVT")&amp;IF(S71="","",";Pay OVT Addition")</f>
        <v/>
      </c>
      <c r="W71" s="11" t="str">
        <f t="shared" si="15"/>
        <v/>
      </c>
      <c r="X71" s="7">
        <v>62</v>
      </c>
      <c r="Y71" s="7" t="str">
        <f t="shared" si="16"/>
        <v/>
      </c>
      <c r="Z71" s="7" t="str">
        <f t="shared" si="17"/>
        <v/>
      </c>
      <c r="AA71" s="7" t="str">
        <f t="shared" si="18"/>
        <v/>
      </c>
      <c r="AB71" s="8" t="str" cm="1">
        <f t="array" ref="AB71">IF(X71&gt;SUM(C$6:I$6),"",INDEX(C$10:I$29,AA71,Y71))</f>
        <v/>
      </c>
      <c r="AC71" s="13" t="str">
        <f>IF(X71&gt;SUM(C$6:I$6),"",AND(SUMIF(Y$10:Y71,Y71,AB$10:AB71)-AB71&lt;4,SUMIF(Y$10:Y71,Y71,AB$10:AB71)&gt;=4))</f>
        <v/>
      </c>
      <c r="AD71" s="13" t="str">
        <f t="shared" si="19"/>
        <v/>
      </c>
      <c r="AE71" s="13" t="str">
        <f t="shared" si="20"/>
        <v/>
      </c>
    </row>
    <row r="72" spans="18:31" x14ac:dyDescent="0.25">
      <c r="R72" s="12"/>
      <c r="S72" s="12"/>
      <c r="T72" s="10" t="str" cm="1">
        <f t="array" ref="T72">IF(OR(X72&gt;SUM(C$6:I$6),Y71=Y72),"",INDEX(C$8:I$8,Y72))</f>
        <v/>
      </c>
      <c r="U72" s="11" t="str" cm="1">
        <f t="array" ref="U72">IF(X72&gt;SUM(C$6:I$6),"",IF(Z72=1,INDEX(C$5:I$5,Y72),U71+AB71/24+IF(AC71,0.5/24,0)+IF(AD71,8/(60*24),0)))</f>
        <v/>
      </c>
      <c r="V72" s="7" t="str" cm="1">
        <f t="array" ref="V72">IF(X72&gt;SUM(C$6:I$6),"",INDEX(B$10:B$29,AA72))&amp;IF(R72="","",";OVT")&amp;IF(S72="","",";Pay OVT Addition")</f>
        <v/>
      </c>
      <c r="W72" s="11" t="str">
        <f t="shared" si="15"/>
        <v/>
      </c>
      <c r="X72" s="7">
        <v>63</v>
      </c>
      <c r="Y72" s="7" t="str">
        <f t="shared" si="16"/>
        <v/>
      </c>
      <c r="Z72" s="7" t="str">
        <f t="shared" si="17"/>
        <v/>
      </c>
      <c r="AA72" s="7" t="str">
        <f>IF(X72&gt;SUM(C$6:I$6),"",MATCH(Z72,CHOOSE(Y72,J$10:J$29,K$10:K$29,L$10:L$29,M$10:M$29,N$10:N$29,O$10:O$29,P$10:P$29),0))</f>
        <v/>
      </c>
      <c r="AB72" s="8" t="str" cm="1">
        <f t="array" ref="AB72">IF(X72&gt;SUM(C$6:I$6),"",INDEX(C$10:I$29,AA72,Y72))</f>
        <v/>
      </c>
      <c r="AC72" s="13" t="str">
        <f>IF(X72&gt;SUM(C$6:I$6),"",AND(SUMIF(Y$10:Y72,Y72,AB$10:AB72)-AB72&lt;4,SUMIF(Y$10:Y72,Y72,AB$10:AB72)&gt;=4))</f>
        <v/>
      </c>
      <c r="AD72" s="13" t="str">
        <f t="shared" si="19"/>
        <v/>
      </c>
      <c r="AE72" s="13" t="str">
        <f t="shared" si="20"/>
        <v/>
      </c>
    </row>
    <row r="73" spans="18:31" x14ac:dyDescent="0.25">
      <c r="R73" s="12"/>
      <c r="S73" s="12"/>
      <c r="T73" s="10" t="str" cm="1">
        <f t="array" ref="T73">IF(OR(X73&gt;SUM(C$6:I$6),Y72=Y73),"",INDEX(C$8:I$8,Y73))</f>
        <v/>
      </c>
      <c r="U73" s="11" t="str" cm="1">
        <f t="array" ref="U73">IF(X73&gt;SUM(C$6:I$6),"",IF(Z73=1,INDEX(C$5:I$5,Y73),U72+AB72/24+IF(AC72,0.5/24,0)+IF(AD72,8/(60*24),0)))</f>
        <v/>
      </c>
      <c r="V73" s="7" t="str" cm="1">
        <f t="array" ref="V73">IF(X73&gt;SUM(C$6:I$6),"",INDEX(B$10:B$29,AA73))&amp;IF(R73="","",";OVT")&amp;IF(S73="","",";Pay OVT Addition")</f>
        <v/>
      </c>
      <c r="W73" s="11" t="str">
        <f t="shared" si="15"/>
        <v/>
      </c>
      <c r="X73" s="7">
        <v>64</v>
      </c>
      <c r="Y73" s="7" t="str">
        <f t="shared" si="16"/>
        <v/>
      </c>
      <c r="Z73" s="7" t="str">
        <f t="shared" si="17"/>
        <v/>
      </c>
      <c r="AA73" s="7" t="str">
        <f t="shared" ref="AA73:AA84" si="21">IF(X73&gt;SUM(C$6:I$6),"",MATCH(Z73,CHOOSE(Y73,J$10:J$29,K$10:K$29,L$10:L$29,M$10:M$29,N$10:N$29,O$10:O$29,P$10:P$29),0))</f>
        <v/>
      </c>
      <c r="AB73" s="8" t="str" cm="1">
        <f t="array" ref="AB73">IF(X73&gt;SUM(C$6:I$6),"",INDEX(C$10:I$29,AA73,Y73))</f>
        <v/>
      </c>
      <c r="AC73" s="13" t="str">
        <f>IF(X73&gt;SUM(C$6:I$6),"",AND(SUMIF(Y$10:Y73,Y73,AB$10:AB73)-AB73&lt;4,SUMIF(Y$10:Y73,Y73,AB$10:AB73)&gt;=4))</f>
        <v/>
      </c>
      <c r="AD73" s="13" t="str">
        <f t="shared" si="19"/>
        <v/>
      </c>
      <c r="AE73" s="13" t="str">
        <f t="shared" si="20"/>
        <v/>
      </c>
    </row>
    <row r="74" spans="18:31" x14ac:dyDescent="0.25">
      <c r="R74" s="12"/>
      <c r="S74" s="12"/>
      <c r="T74" s="10" t="str" cm="1">
        <f t="array" ref="T74">IF(OR(X74&gt;SUM(C$6:I$6),Y73=Y74),"",INDEX(C$8:I$8,Y74))</f>
        <v/>
      </c>
      <c r="U74" s="11" t="str" cm="1">
        <f t="array" ref="U74">IF(X74&gt;SUM(C$6:I$6),"",IF(Z74=1,INDEX(C$5:I$5,Y74),U73+AB73/24+IF(AC73,0.5/24,0)+IF(AD73,8/(60*24),0)))</f>
        <v/>
      </c>
      <c r="V74" s="7" t="str" cm="1">
        <f t="array" ref="V74">IF(X74&gt;SUM(C$6:I$6),"",INDEX(B$10:B$29,AA74))&amp;IF(R74="","",";OVT")&amp;IF(S74="","",";Pay OVT Addition")</f>
        <v/>
      </c>
      <c r="W74" s="11" t="str">
        <f t="shared" si="15"/>
        <v/>
      </c>
      <c r="X74" s="7">
        <v>65</v>
      </c>
      <c r="Y74" s="7" t="str">
        <f t="shared" si="16"/>
        <v/>
      </c>
      <c r="Z74" s="7" t="str">
        <f t="shared" si="17"/>
        <v/>
      </c>
      <c r="AA74" s="7" t="str">
        <f t="shared" si="21"/>
        <v/>
      </c>
      <c r="AB74" s="8" t="str" cm="1">
        <f t="array" ref="AB74">IF(X74&gt;SUM(C$6:I$6),"",INDEX(C$10:I$29,AA74,Y74))</f>
        <v/>
      </c>
      <c r="AC74" s="13" t="str">
        <f>IF(X74&gt;SUM(C$6:I$6),"",AND(SUMIF(Y$10:Y74,Y74,AB$10:AB74)-AB74&lt;4,SUMIF(Y$10:Y74,Y74,AB$10:AB74)&gt;=4))</f>
        <v/>
      </c>
      <c r="AD74" s="13" t="str">
        <f t="shared" si="19"/>
        <v/>
      </c>
      <c r="AE74" s="13" t="str">
        <f t="shared" si="20"/>
        <v/>
      </c>
    </row>
    <row r="75" spans="18:31" x14ac:dyDescent="0.25">
      <c r="R75" s="12"/>
      <c r="S75" s="12"/>
      <c r="T75" s="10" t="str" cm="1">
        <f t="array" ref="T75">IF(OR(X75&gt;SUM(C$6:I$6),Y74=Y75),"",INDEX(C$8:I$8,Y75))</f>
        <v/>
      </c>
      <c r="U75" s="11" t="str" cm="1">
        <f t="array" ref="U75">IF(X75&gt;SUM(C$6:I$6),"",IF(Z75=1,INDEX(C$5:I$5,Y75),U74+AB74/24+IF(AC74,0.5/24,0)+IF(AD74,8/(60*24),0)))</f>
        <v/>
      </c>
      <c r="V75" s="7" t="str" cm="1">
        <f t="array" ref="V75">IF(X75&gt;SUM(C$6:I$6),"",INDEX(B$10:B$29,AA75))&amp;IF(R75="","",";OVT")&amp;IF(S75="","",";Pay OVT Addition")</f>
        <v/>
      </c>
      <c r="W75" s="11" t="str">
        <f t="shared" si="15"/>
        <v/>
      </c>
      <c r="X75" s="7">
        <v>66</v>
      </c>
      <c r="Y75" s="7" t="str">
        <f t="shared" si="16"/>
        <v/>
      </c>
      <c r="Z75" s="7" t="str">
        <f t="shared" si="17"/>
        <v/>
      </c>
      <c r="AA75" s="7" t="str">
        <f t="shared" si="21"/>
        <v/>
      </c>
      <c r="AB75" s="8" t="str" cm="1">
        <f t="array" ref="AB75">IF(X75&gt;SUM(C$6:I$6),"",INDEX(C$10:I$29,AA75,Y75))</f>
        <v/>
      </c>
      <c r="AC75" s="13" t="str">
        <f>IF(X75&gt;SUM(C$6:I$6),"",AND(SUMIF(Y$10:Y75,Y75,AB$10:AB75)-AB75&lt;4,SUMIF(Y$10:Y75,Y75,AB$10:AB75)&gt;=4))</f>
        <v/>
      </c>
      <c r="AD75" s="13" t="str">
        <f t="shared" si="19"/>
        <v/>
      </c>
      <c r="AE75" s="13" t="str">
        <f t="shared" si="20"/>
        <v/>
      </c>
    </row>
    <row r="76" spans="18:31" x14ac:dyDescent="0.25">
      <c r="R76" s="12"/>
      <c r="S76" s="12"/>
      <c r="T76" s="10" t="str" cm="1">
        <f t="array" ref="T76">IF(OR(X76&gt;SUM(C$6:I$6),Y75=Y76),"",INDEX(C$8:I$8,Y76))</f>
        <v/>
      </c>
      <c r="U76" s="11" t="str" cm="1">
        <f t="array" ref="U76">IF(X76&gt;SUM(C$6:I$6),"",IF(Z76=1,INDEX(C$5:I$5,Y76),U75+AB75/24+IF(AC75,0.5/24,0)+IF(AD75,8/(60*24),0)))</f>
        <v/>
      </c>
      <c r="V76" s="7" t="str" cm="1">
        <f t="array" ref="V76">IF(X76&gt;SUM(C$6:I$6),"",INDEX(B$10:B$29,AA76))&amp;IF(R76="","",";OVT")&amp;IF(S76="","",";Pay OVT Addition")</f>
        <v/>
      </c>
      <c r="W76" s="11" t="str">
        <f t="shared" si="15"/>
        <v/>
      </c>
      <c r="X76" s="7">
        <v>67</v>
      </c>
      <c r="Y76" s="7" t="str">
        <f t="shared" si="16"/>
        <v/>
      </c>
      <c r="Z76" s="7" t="str">
        <f t="shared" si="17"/>
        <v/>
      </c>
      <c r="AA76" s="7" t="str">
        <f t="shared" si="21"/>
        <v/>
      </c>
      <c r="AB76" s="8" t="str" cm="1">
        <f t="array" ref="AB76">IF(X76&gt;SUM(C$6:I$6),"",INDEX(C$10:I$29,AA76,Y76))</f>
        <v/>
      </c>
      <c r="AC76" s="13" t="str">
        <f>IF(X76&gt;SUM(C$6:I$6),"",AND(SUMIF(Y$10:Y76,Y76,AB$10:AB76)-AB76&lt;4,SUMIF(Y$10:Y76,Y76,AB$10:AB76)&gt;=4))</f>
        <v/>
      </c>
      <c r="AD76" s="13" t="str">
        <f t="shared" si="19"/>
        <v/>
      </c>
      <c r="AE76" s="13" t="str">
        <f t="shared" si="20"/>
        <v/>
      </c>
    </row>
    <row r="77" spans="18:31" x14ac:dyDescent="0.25">
      <c r="R77" s="12"/>
      <c r="S77" s="12"/>
      <c r="T77" s="10" t="str" cm="1">
        <f t="array" ref="T77">IF(OR(X77&gt;SUM(C$6:I$6),Y76=Y77),"",INDEX(C$8:I$8,Y77))</f>
        <v/>
      </c>
      <c r="U77" s="11" t="str" cm="1">
        <f t="array" ref="U77">IF(X77&gt;SUM(C$6:I$6),"",IF(Z77=1,INDEX(C$5:I$5,Y77),U76+AB76/24+IF(AC76,0.5/24,0)+IF(AD76,8/(60*24),0)))</f>
        <v/>
      </c>
      <c r="V77" s="7" t="str" cm="1">
        <f t="array" ref="V77">IF(X77&gt;SUM(C$6:I$6),"",INDEX(B$10:B$29,AA77))&amp;IF(R77="","",";OVT")&amp;IF(S77="","",";Pay OVT Addition")</f>
        <v/>
      </c>
      <c r="W77" s="11" t="str">
        <f t="shared" si="15"/>
        <v/>
      </c>
      <c r="X77" s="7">
        <v>68</v>
      </c>
      <c r="Y77" s="7" t="str">
        <f t="shared" si="16"/>
        <v/>
      </c>
      <c r="Z77" s="7" t="str">
        <f t="shared" si="17"/>
        <v/>
      </c>
      <c r="AA77" s="7" t="str">
        <f t="shared" si="21"/>
        <v/>
      </c>
      <c r="AB77" s="8" t="str" cm="1">
        <f t="array" ref="AB77">IF(X77&gt;SUM(C$6:I$6),"",INDEX(C$10:I$29,AA77,Y77))</f>
        <v/>
      </c>
      <c r="AC77" s="13" t="str">
        <f>IF(X77&gt;SUM(C$6:I$6),"",AND(SUMIF(Y$10:Y77,Y77,AB$10:AB77)-AB77&lt;4,SUMIF(Y$10:Y77,Y77,AB$10:AB77)&gt;=4))</f>
        <v/>
      </c>
      <c r="AD77" s="13" t="str">
        <f t="shared" si="19"/>
        <v/>
      </c>
      <c r="AE77" s="13" t="str">
        <f t="shared" si="20"/>
        <v/>
      </c>
    </row>
    <row r="78" spans="18:31" x14ac:dyDescent="0.25">
      <c r="R78" s="12"/>
      <c r="S78" s="12"/>
      <c r="T78" s="10" t="str" cm="1">
        <f t="array" ref="T78">IF(OR(X78&gt;SUM(C$6:I$6),Y77=Y78),"",INDEX(C$8:I$8,Y78))</f>
        <v/>
      </c>
      <c r="U78" s="11" t="str" cm="1">
        <f t="array" ref="U78">IF(X78&gt;SUM(C$6:I$6),"",IF(Z78=1,INDEX(C$5:I$5,Y78),U77+AB77/24+IF(AC77,0.5/24,0)+IF(AD77,8/(60*24),0)))</f>
        <v/>
      </c>
      <c r="V78" s="7" t="str" cm="1">
        <f t="array" ref="V78">IF(X78&gt;SUM(C$6:I$6),"",INDEX(B$10:B$29,AA78))&amp;IF(R78="","",";OVT")&amp;IF(S78="","",";Pay OVT Addition")</f>
        <v/>
      </c>
      <c r="W78" s="11" t="str">
        <f t="shared" si="15"/>
        <v/>
      </c>
      <c r="X78" s="7">
        <v>69</v>
      </c>
      <c r="Y78" s="7" t="str">
        <f t="shared" si="16"/>
        <v/>
      </c>
      <c r="Z78" s="7" t="str">
        <f t="shared" si="17"/>
        <v/>
      </c>
      <c r="AA78" s="7" t="str">
        <f t="shared" si="21"/>
        <v/>
      </c>
      <c r="AB78" s="8" t="str" cm="1">
        <f t="array" ref="AB78">IF(X78&gt;SUM(C$6:I$6),"",INDEX(C$10:I$29,AA78,Y78))</f>
        <v/>
      </c>
      <c r="AC78" s="13" t="str">
        <f>IF(X78&gt;SUM(C$6:I$6),"",AND(SUMIF(Y$10:Y78,Y78,AB$10:AB78)-AB78&lt;4,SUMIF(Y$10:Y78,Y78,AB$10:AB78)&gt;=4))</f>
        <v/>
      </c>
      <c r="AD78" s="13" t="str">
        <f t="shared" si="19"/>
        <v/>
      </c>
      <c r="AE78" s="13" t="str">
        <f t="shared" si="20"/>
        <v/>
      </c>
    </row>
    <row r="79" spans="18:31" x14ac:dyDescent="0.25">
      <c r="R79" s="12"/>
      <c r="S79" s="12"/>
      <c r="T79" s="10" t="str" cm="1">
        <f t="array" ref="T79">IF(OR(X79&gt;SUM(C$6:I$6),Y78=Y79),"",INDEX(C$8:I$8,Y79))</f>
        <v/>
      </c>
      <c r="U79" s="11" t="str" cm="1">
        <f t="array" ref="U79">IF(X79&gt;SUM(C$6:I$6),"",IF(Z79=1,INDEX(C$5:I$5,Y79),U78+AB78/24+IF(AC78,0.5/24,0)+IF(AD78,8/(60*24),0)))</f>
        <v/>
      </c>
      <c r="V79" s="7" t="str" cm="1">
        <f t="array" ref="V79">IF(X79&gt;SUM(C$6:I$6),"",INDEX(B$10:B$29,AA79))&amp;IF(R79="","",";OVT")&amp;IF(S79="","",";Pay OVT Addition")</f>
        <v/>
      </c>
      <c r="W79" s="11" t="str">
        <f t="shared" si="15"/>
        <v/>
      </c>
      <c r="X79" s="7">
        <v>70</v>
      </c>
      <c r="Y79" s="7" t="str">
        <f t="shared" si="16"/>
        <v/>
      </c>
      <c r="Z79" s="7" t="str">
        <f t="shared" si="17"/>
        <v/>
      </c>
      <c r="AA79" s="7" t="str">
        <f t="shared" si="21"/>
        <v/>
      </c>
      <c r="AB79" s="8" t="str" cm="1">
        <f t="array" ref="AB79">IF(X79&gt;SUM(C$6:I$6),"",INDEX(C$10:I$29,AA79,Y79))</f>
        <v/>
      </c>
      <c r="AC79" s="13" t="str">
        <f>IF(X79&gt;SUM(C$6:I$6),"",AND(SUMIF(Y$10:Y79,Y79,AB$10:AB79)-AB79&lt;4,SUMIF(Y$10:Y79,Y79,AB$10:AB79)&gt;=4))</f>
        <v/>
      </c>
      <c r="AD79" s="13" t="str">
        <f t="shared" si="19"/>
        <v/>
      </c>
      <c r="AE79" s="13" t="str">
        <f t="shared" si="20"/>
        <v/>
      </c>
    </row>
    <row r="80" spans="18:31" x14ac:dyDescent="0.25">
      <c r="R80" s="12"/>
      <c r="S80" s="12"/>
      <c r="T80" s="10" t="str" cm="1">
        <f t="array" ref="T80">IF(OR(X80&gt;SUM(C$6:I$6),Y79=Y80),"",INDEX(C$8:I$8,Y80))</f>
        <v/>
      </c>
      <c r="U80" s="11" t="str" cm="1">
        <f t="array" ref="U80">IF(X80&gt;SUM(C$6:I$6),"",IF(Z80=1,INDEX(C$5:I$5,Y80),U79+AB79/24+IF(AC79,0.5/24,0)+IF(AD79,8/(60*24),0)))</f>
        <v/>
      </c>
      <c r="V80" s="7" t="str" cm="1">
        <f t="array" ref="V80">IF(X80&gt;SUM(C$6:I$6),"",INDEX(B$10:B$29,AA80))&amp;IF(R80="","",";OVT")&amp;IF(S80="","",";Pay OVT Addition")</f>
        <v/>
      </c>
      <c r="W80" s="11" t="str">
        <f t="shared" si="15"/>
        <v/>
      </c>
      <c r="X80" s="7">
        <v>71</v>
      </c>
      <c r="Y80" s="7" t="str">
        <f t="shared" si="16"/>
        <v/>
      </c>
      <c r="Z80" s="7" t="str">
        <f t="shared" si="17"/>
        <v/>
      </c>
      <c r="AA80" s="7" t="str">
        <f t="shared" si="21"/>
        <v/>
      </c>
      <c r="AB80" s="8" t="str" cm="1">
        <f t="array" ref="AB80">IF(X80&gt;SUM(C$6:I$6),"",INDEX(C$10:I$29,AA80,Y80))</f>
        <v/>
      </c>
      <c r="AC80" s="13" t="str">
        <f>IF(X80&gt;SUM(C$6:I$6),"",AND(SUMIF(Y$10:Y80,Y80,AB$10:AB80)-AB80&lt;4,SUMIF(Y$10:Y80,Y80,AB$10:AB80)&gt;=4))</f>
        <v/>
      </c>
      <c r="AD80" s="13" t="str">
        <f t="shared" si="19"/>
        <v/>
      </c>
      <c r="AE80" s="13" t="str">
        <f t="shared" si="20"/>
        <v/>
      </c>
    </row>
    <row r="81" spans="18:31" x14ac:dyDescent="0.25">
      <c r="R81" s="12"/>
      <c r="S81" s="12"/>
      <c r="T81" s="10" t="str" cm="1">
        <f t="array" ref="T81">IF(OR(X81&gt;SUM(C$6:I$6),Y80=Y81),"",INDEX(C$8:I$8,Y81))</f>
        <v/>
      </c>
      <c r="U81" s="11" t="str" cm="1">
        <f t="array" ref="U81">IF(X81&gt;SUM(C$6:I$6),"",IF(Z81=1,INDEX(C$5:I$5,Y81),U80+AB80/24+IF(AC80,0.5/24,0)+IF(AD80,8/(60*24),0)))</f>
        <v/>
      </c>
      <c r="V81" s="7" t="str" cm="1">
        <f t="array" ref="V81">IF(X81&gt;SUM(C$6:I$6),"",INDEX(B$10:B$29,AA81))&amp;IF(R81="","",";OVT")&amp;IF(S81="","",";Pay OVT Addition")</f>
        <v/>
      </c>
      <c r="W81" s="11" t="str">
        <f t="shared" si="15"/>
        <v/>
      </c>
      <c r="X81" s="7">
        <v>72</v>
      </c>
      <c r="Y81" s="7" t="str">
        <f t="shared" si="16"/>
        <v/>
      </c>
      <c r="Z81" s="7" t="str">
        <f t="shared" si="17"/>
        <v/>
      </c>
      <c r="AA81" s="7" t="str">
        <f t="shared" si="21"/>
        <v/>
      </c>
      <c r="AB81" s="8" t="str" cm="1">
        <f t="array" ref="AB81">IF(X81&gt;SUM(C$6:I$6),"",INDEX(C$10:I$29,AA81,Y81))</f>
        <v/>
      </c>
      <c r="AC81" s="13" t="str">
        <f>IF(X81&gt;SUM(C$6:I$6),"",AND(SUMIF(Y$10:Y81,Y81,AB$10:AB81)-AB81&lt;4,SUMIF(Y$10:Y81,Y81,AB$10:AB81)&gt;=4))</f>
        <v/>
      </c>
      <c r="AD81" s="13" t="str">
        <f t="shared" si="19"/>
        <v/>
      </c>
      <c r="AE81" s="13" t="str">
        <f t="shared" si="20"/>
        <v/>
      </c>
    </row>
    <row r="82" spans="18:31" x14ac:dyDescent="0.25">
      <c r="R82" s="12"/>
      <c r="S82" s="12"/>
      <c r="T82" s="10" t="str" cm="1">
        <f t="array" ref="T82">IF(OR(X82&gt;SUM(C$6:I$6),Y81=Y82),"",INDEX(C$8:I$8,Y82))</f>
        <v/>
      </c>
      <c r="U82" s="11" t="str" cm="1">
        <f t="array" ref="U82">IF(X82&gt;SUM(C$6:I$6),"",IF(Z82=1,INDEX(C$5:I$5,Y82),U81+AB81/24+IF(AC81,0.5/24,0)+IF(AD81,8/(60*24),0)))</f>
        <v/>
      </c>
      <c r="V82" s="7" t="str" cm="1">
        <f t="array" ref="V82">IF(X82&gt;SUM(C$6:I$6),"",INDEX(B$10:B$29,AA82))&amp;IF(R82="","",";OVT")&amp;IF(S82="","",";Pay OVT Addition")</f>
        <v/>
      </c>
      <c r="W82" s="11" t="str">
        <f t="shared" si="15"/>
        <v/>
      </c>
      <c r="X82" s="7">
        <v>73</v>
      </c>
      <c r="Y82" s="7" t="str">
        <f t="shared" si="16"/>
        <v/>
      </c>
      <c r="Z82" s="7" t="str">
        <f t="shared" si="17"/>
        <v/>
      </c>
      <c r="AA82" s="7" t="str">
        <f t="shared" si="21"/>
        <v/>
      </c>
      <c r="AB82" s="8" t="str" cm="1">
        <f t="array" ref="AB82">IF(X82&gt;SUM(C$6:I$6),"",INDEX(C$10:I$29,AA82,Y82))</f>
        <v/>
      </c>
      <c r="AC82" s="13" t="str">
        <f>IF(X82&gt;SUM(C$6:I$6),"",AND(SUMIF(Y$10:Y82,Y82,AB$10:AB82)-AB82&lt;4,SUMIF(Y$10:Y82,Y82,AB$10:AB82)&gt;=4))</f>
        <v/>
      </c>
      <c r="AD82" s="13" t="str">
        <f t="shared" si="19"/>
        <v/>
      </c>
      <c r="AE82" s="13" t="str">
        <f t="shared" si="20"/>
        <v/>
      </c>
    </row>
    <row r="83" spans="18:31" x14ac:dyDescent="0.25">
      <c r="R83" s="12"/>
      <c r="S83" s="12"/>
      <c r="T83" s="10" t="str" cm="1">
        <f t="array" ref="T83">IF(OR(X83&gt;SUM(C$6:I$6),Y82=Y83),"",INDEX(C$8:I$8,Y83))</f>
        <v/>
      </c>
      <c r="U83" s="11" t="str" cm="1">
        <f t="array" ref="U83">IF(X83&gt;SUM(C$6:I$6),"",IF(Z83=1,INDEX(C$5:I$5,Y83),U82+AB82/24+IF(AC82,0.5/24,0)+IF(AD82,8/(60*24),0)))</f>
        <v/>
      </c>
      <c r="V83" s="7" t="str" cm="1">
        <f t="array" ref="V83">IF(X83&gt;SUM(C$6:I$6),"",INDEX(B$10:B$29,AA83))&amp;IF(R83="","",";OVT")&amp;IF(S83="","",";Pay OVT Addition")</f>
        <v/>
      </c>
      <c r="W83" s="11" t="str">
        <f t="shared" si="15"/>
        <v/>
      </c>
      <c r="X83" s="7">
        <v>74</v>
      </c>
      <c r="Y83" s="7" t="str">
        <f t="shared" si="16"/>
        <v/>
      </c>
      <c r="Z83" s="7" t="str">
        <f t="shared" si="17"/>
        <v/>
      </c>
      <c r="AA83" s="7" t="str">
        <f t="shared" si="21"/>
        <v/>
      </c>
      <c r="AB83" s="8" t="str" cm="1">
        <f t="array" ref="AB83">IF(X83&gt;SUM(C$6:I$6),"",INDEX(C$10:I$29,AA83,Y83))</f>
        <v/>
      </c>
      <c r="AC83" s="13" t="str">
        <f>IF(X83&gt;SUM(C$6:I$6),"",AND(SUMIF(Y$10:Y83,Y83,AB$10:AB83)-AB83&lt;4,SUMIF(Y$10:Y83,Y83,AB$10:AB83)&gt;=4))</f>
        <v/>
      </c>
      <c r="AD83" s="13" t="str">
        <f t="shared" si="19"/>
        <v/>
      </c>
      <c r="AE83" s="13" t="str">
        <f t="shared" si="20"/>
        <v/>
      </c>
    </row>
    <row r="84" spans="18:31" x14ac:dyDescent="0.25">
      <c r="R84" s="12"/>
      <c r="S84" s="12"/>
      <c r="T84" s="10" t="str" cm="1">
        <f t="array" ref="T84">IF(OR(X84&gt;SUM(C$6:I$6),Y83=Y84),"",INDEX(C$8:I$8,Y84))</f>
        <v/>
      </c>
      <c r="U84" s="11" t="str" cm="1">
        <f t="array" ref="U84">IF(X84&gt;SUM(C$6:I$6),"",IF(Z84=1,INDEX(C$5:I$5,Y84),U83+AB83/24+IF(AC83,0.5/24,0)+IF(AD83,8/(60*24),0)))</f>
        <v/>
      </c>
      <c r="V84" s="7" t="str" cm="1">
        <f t="array" ref="V84">IF(X84&gt;SUM(C$6:I$6),"",INDEX(B$10:B$29,AA84))&amp;IF(R84="","",";OVT")&amp;IF(S84="","",";Pay OVT Addition")</f>
        <v/>
      </c>
      <c r="W84" s="11" t="str">
        <f t="shared" si="15"/>
        <v/>
      </c>
      <c r="X84" s="7">
        <v>75</v>
      </c>
      <c r="Y84" s="7" t="str">
        <f t="shared" si="16"/>
        <v/>
      </c>
      <c r="Z84" s="7" t="str">
        <f t="shared" si="17"/>
        <v/>
      </c>
      <c r="AA84" s="7" t="str">
        <f t="shared" si="21"/>
        <v/>
      </c>
      <c r="AB84" s="8" t="str" cm="1">
        <f t="array" ref="AB84">IF(X84&gt;SUM(C$6:I$6),"",INDEX(C$10:I$29,AA84,Y84))</f>
        <v/>
      </c>
      <c r="AC84" s="13" t="str">
        <f>IF(X84&gt;SUM(C$6:I$6),"",AND(SUMIF(Y$10:Y84,Y84,AB$10:AB84)-AB84&lt;4,SUMIF(Y$10:Y84,Y84,AB$10:AB84)&gt;=4))</f>
        <v/>
      </c>
      <c r="AD84" s="13" t="str">
        <f t="shared" si="19"/>
        <v/>
      </c>
      <c r="AE84" s="13" t="str">
        <f t="shared" si="20"/>
        <v/>
      </c>
    </row>
    <row r="85" spans="18:31" x14ac:dyDescent="0.25">
      <c r="R85" s="12"/>
      <c r="S85" s="12"/>
      <c r="T85" s="10" t="str" cm="1">
        <f t="array" ref="T85">IF(OR(X85&gt;SUM(C$6:I$6),Y84=Y85),"",INDEX(C$8:I$8,Y85))</f>
        <v/>
      </c>
      <c r="U85" s="11" t="str" cm="1">
        <f t="array" ref="U85">IF(X85&gt;SUM(C$6:I$6),"",IF(Z85=1,INDEX(C$5:I$5,Y85),U84+AB84/24+IF(AC84,0.5/24,0)+IF(AD84,8/(60*24),0)))</f>
        <v/>
      </c>
      <c r="V85" s="7" t="str" cm="1">
        <f t="array" ref="V85">IF(X85&gt;SUM(C$6:I$6),"",INDEX(B$10:B$29,AA85))&amp;IF(R85="","",";OVT")&amp;IF(S85="","",";Pay OVT Addition")</f>
        <v/>
      </c>
      <c r="W85" s="11" t="str">
        <f t="shared" ref="W85:W104" si="22">IF(OR(X85&gt;SUM(C$6:I$6),Y85=Y86),"",U85+AB85/24+IF(AC85,0.5/24,0)+IF(AD85,8/(60*24),0))</f>
        <v/>
      </c>
      <c r="X85" s="7">
        <v>76</v>
      </c>
      <c r="Y85" s="7" t="str">
        <f t="shared" ref="Y85:Y104" si="23">IF(X85&gt;SUM(C$6:I$6),"",MATCH(X85-1,J$6:P$6,1))</f>
        <v/>
      </c>
      <c r="Z85" s="7" t="str">
        <f t="shared" ref="Z85:Z104" si="24">IF(X85&gt;SUM(C$6:I$6),"",IF(Y85=Y84,Z84+1,1))</f>
        <v/>
      </c>
      <c r="AA85" s="7" t="str">
        <f t="shared" ref="AA85:AA104" si="25">IF(X85&gt;SUM(C$6:I$6),"",MATCH(Z85,CHOOSE(Y85,J$10:J$29,K$10:K$29,L$10:L$29,M$10:M$29,N$10:N$29,O$10:O$29,P$10:P$29),0))</f>
        <v/>
      </c>
      <c r="AB85" s="8" t="str" cm="1">
        <f t="array" ref="AB85">IF(X85&gt;SUM(C$6:I$6),"",INDEX(C$10:I$29,AA85,Y85))</f>
        <v/>
      </c>
      <c r="AC85" s="13" t="str">
        <f>IF(X85&gt;SUM(C$6:I$6),"",AND(SUMIF(Y$10:Y85,Y85,AB$10:AB85)-AB85&lt;4,SUMIF(Y$10:Y85,Y85,AB$10:AB85)&gt;=4))</f>
        <v/>
      </c>
      <c r="AD85" s="13" t="str">
        <f t="shared" ref="AD85:AD104" si="26">IF(X85&gt;SUM(C$6:I$6),"",AND($C$4,Z85=1))</f>
        <v/>
      </c>
      <c r="AE85" s="13" t="str">
        <f t="shared" ref="AE85:AE104" si="27">IF(X85&gt;SUM(C$6:I$6),"",OR(SUMIF(Y$10:Y$39,Y85,AB$10:AB$39)&gt;7.5,Y85&gt;5,_xlfn.MAXIFS(W$10:W$39,Y$10:Y$39,Y85)&gt;21/24))</f>
        <v/>
      </c>
    </row>
    <row r="86" spans="18:31" x14ac:dyDescent="0.25">
      <c r="R86" s="12"/>
      <c r="S86" s="12"/>
      <c r="T86" s="10" t="str" cm="1">
        <f t="array" ref="T86">IF(OR(X86&gt;SUM(C$6:I$6),Y85=Y86),"",INDEX(C$8:I$8,Y86))</f>
        <v/>
      </c>
      <c r="U86" s="11" t="str" cm="1">
        <f t="array" ref="U86">IF(X86&gt;SUM(C$6:I$6),"",IF(Z86=1,INDEX(C$5:I$5,Y86),U85+AB85/24+IF(AC85,0.5/24,0)+IF(AD85,8/(60*24),0)))</f>
        <v/>
      </c>
      <c r="V86" s="7" t="str" cm="1">
        <f t="array" ref="V86">IF(X86&gt;SUM(C$6:I$6),"",INDEX(B$10:B$29,AA86))&amp;IF(R86="","",";OVT")&amp;IF(S86="","",";Pay OVT Addition")</f>
        <v/>
      </c>
      <c r="W86" s="11" t="str">
        <f t="shared" si="22"/>
        <v/>
      </c>
      <c r="X86" s="7">
        <v>77</v>
      </c>
      <c r="Y86" s="7" t="str">
        <f t="shared" si="23"/>
        <v/>
      </c>
      <c r="Z86" s="7" t="str">
        <f t="shared" si="24"/>
        <v/>
      </c>
      <c r="AA86" s="7" t="str">
        <f t="shared" si="25"/>
        <v/>
      </c>
      <c r="AB86" s="8" t="str" cm="1">
        <f t="array" ref="AB86">IF(X86&gt;SUM(C$6:I$6),"",INDEX(C$10:I$29,AA86,Y86))</f>
        <v/>
      </c>
      <c r="AC86" s="13" t="str">
        <f>IF(X86&gt;SUM(C$6:I$6),"",AND(SUMIF(Y$10:Y86,Y86,AB$10:AB86)-AB86&lt;4,SUMIF(Y$10:Y86,Y86,AB$10:AB86)&gt;=4))</f>
        <v/>
      </c>
      <c r="AD86" s="13" t="str">
        <f t="shared" si="26"/>
        <v/>
      </c>
      <c r="AE86" s="13" t="str">
        <f t="shared" si="27"/>
        <v/>
      </c>
    </row>
    <row r="87" spans="18:31" x14ac:dyDescent="0.25">
      <c r="R87" s="12"/>
      <c r="S87" s="12"/>
      <c r="T87" s="10" t="str" cm="1">
        <f t="array" ref="T87">IF(OR(X87&gt;SUM(C$6:I$6),Y86=Y87),"",INDEX(C$8:I$8,Y87))</f>
        <v/>
      </c>
      <c r="U87" s="11" t="str" cm="1">
        <f t="array" ref="U87">IF(X87&gt;SUM(C$6:I$6),"",IF(Z87=1,INDEX(C$5:I$5,Y87),U86+AB86/24+IF(AC86,0.5/24,0)+IF(AD86,8/(60*24),0)))</f>
        <v/>
      </c>
      <c r="V87" s="7" t="str" cm="1">
        <f t="array" ref="V87">IF(X87&gt;SUM(C$6:I$6),"",INDEX(B$10:B$29,AA87))&amp;IF(R87="","",";OVT")&amp;IF(S87="","",";Pay OVT Addition")</f>
        <v/>
      </c>
      <c r="W87" s="11" t="str">
        <f t="shared" si="22"/>
        <v/>
      </c>
      <c r="X87" s="7">
        <v>78</v>
      </c>
      <c r="Y87" s="7" t="str">
        <f t="shared" si="23"/>
        <v/>
      </c>
      <c r="Z87" s="7" t="str">
        <f t="shared" si="24"/>
        <v/>
      </c>
      <c r="AA87" s="7" t="str">
        <f t="shared" si="25"/>
        <v/>
      </c>
      <c r="AB87" s="8" t="str" cm="1">
        <f t="array" ref="AB87">IF(X87&gt;SUM(C$6:I$6),"",INDEX(C$10:I$29,AA87,Y87))</f>
        <v/>
      </c>
      <c r="AC87" s="13" t="str">
        <f>IF(X87&gt;SUM(C$6:I$6),"",AND(SUMIF(Y$10:Y87,Y87,AB$10:AB87)-AB87&lt;4,SUMIF(Y$10:Y87,Y87,AB$10:AB87)&gt;=4))</f>
        <v/>
      </c>
      <c r="AD87" s="13" t="str">
        <f t="shared" si="26"/>
        <v/>
      </c>
      <c r="AE87" s="13" t="str">
        <f t="shared" si="27"/>
        <v/>
      </c>
    </row>
    <row r="88" spans="18:31" x14ac:dyDescent="0.25">
      <c r="R88" s="12"/>
      <c r="S88" s="12"/>
      <c r="T88" s="10" t="str" cm="1">
        <f t="array" ref="T88">IF(OR(X88&gt;SUM(C$6:I$6),Y87=Y88),"",INDEX(C$8:I$8,Y88))</f>
        <v/>
      </c>
      <c r="U88" s="11" t="str" cm="1">
        <f t="array" ref="U88">IF(X88&gt;SUM(C$6:I$6),"",IF(Z88=1,INDEX(C$5:I$5,Y88),U87+AB87/24+IF(AC87,0.5/24,0)+IF(AD87,8/(60*24),0)))</f>
        <v/>
      </c>
      <c r="V88" s="7" t="str" cm="1">
        <f t="array" ref="V88">IF(X88&gt;SUM(C$6:I$6),"",INDEX(B$10:B$29,AA88))&amp;IF(R88="","",";OVT")&amp;IF(S88="","",";Pay OVT Addition")</f>
        <v/>
      </c>
      <c r="W88" s="11" t="str">
        <f t="shared" si="22"/>
        <v/>
      </c>
      <c r="X88" s="7">
        <v>79</v>
      </c>
      <c r="Y88" s="7" t="str">
        <f t="shared" si="23"/>
        <v/>
      </c>
      <c r="Z88" s="7" t="str">
        <f t="shared" si="24"/>
        <v/>
      </c>
      <c r="AA88" s="7" t="str">
        <f t="shared" si="25"/>
        <v/>
      </c>
      <c r="AB88" s="8" t="str" cm="1">
        <f t="array" ref="AB88">IF(X88&gt;SUM(C$6:I$6),"",INDEX(C$10:I$29,AA88,Y88))</f>
        <v/>
      </c>
      <c r="AC88" s="13" t="str">
        <f>IF(X88&gt;SUM(C$6:I$6),"",AND(SUMIF(Y$10:Y88,Y88,AB$10:AB88)-AB88&lt;4,SUMIF(Y$10:Y88,Y88,AB$10:AB88)&gt;=4))</f>
        <v/>
      </c>
      <c r="AD88" s="13" t="str">
        <f t="shared" si="26"/>
        <v/>
      </c>
      <c r="AE88" s="13" t="str">
        <f t="shared" si="27"/>
        <v/>
      </c>
    </row>
    <row r="89" spans="18:31" x14ac:dyDescent="0.25">
      <c r="R89" s="12"/>
      <c r="S89" s="12"/>
      <c r="T89" s="10" t="str" cm="1">
        <f t="array" ref="T89">IF(OR(X89&gt;SUM(C$6:I$6),Y88=Y89),"",INDEX(C$8:I$8,Y89))</f>
        <v/>
      </c>
      <c r="U89" s="11" t="str" cm="1">
        <f t="array" ref="U89">IF(X89&gt;SUM(C$6:I$6),"",IF(Z89=1,INDEX(C$5:I$5,Y89),U88+AB88/24+IF(AC88,0.5/24,0)+IF(AD88,8/(60*24),0)))</f>
        <v/>
      </c>
      <c r="V89" s="7" t="str" cm="1">
        <f t="array" ref="V89">IF(X89&gt;SUM(C$6:I$6),"",INDEX(B$10:B$29,AA89))&amp;IF(R89="","",";OVT")&amp;IF(S89="","",";Pay OVT Addition")</f>
        <v/>
      </c>
      <c r="W89" s="11" t="str">
        <f t="shared" si="22"/>
        <v/>
      </c>
      <c r="X89" s="7">
        <v>80</v>
      </c>
      <c r="Y89" s="7" t="str">
        <f t="shared" si="23"/>
        <v/>
      </c>
      <c r="Z89" s="7" t="str">
        <f t="shared" si="24"/>
        <v/>
      </c>
      <c r="AA89" s="7" t="str">
        <f t="shared" si="25"/>
        <v/>
      </c>
      <c r="AB89" s="8" t="str" cm="1">
        <f t="array" ref="AB89">IF(X89&gt;SUM(C$6:I$6),"",INDEX(C$10:I$29,AA89,Y89))</f>
        <v/>
      </c>
      <c r="AC89" s="13" t="str">
        <f>IF(X89&gt;SUM(C$6:I$6),"",AND(SUMIF(Y$10:Y89,Y89,AB$10:AB89)-AB89&lt;4,SUMIF(Y$10:Y89,Y89,AB$10:AB89)&gt;=4))</f>
        <v/>
      </c>
      <c r="AD89" s="13" t="str">
        <f t="shared" si="26"/>
        <v/>
      </c>
      <c r="AE89" s="13" t="str">
        <f t="shared" si="27"/>
        <v/>
      </c>
    </row>
    <row r="90" spans="18:31" x14ac:dyDescent="0.25">
      <c r="R90" s="12"/>
      <c r="S90" s="12"/>
      <c r="T90" s="10" t="str" cm="1">
        <f t="array" ref="T90">IF(OR(X90&gt;SUM(C$6:I$6),Y89=Y90),"",INDEX(C$8:I$8,Y90))</f>
        <v/>
      </c>
      <c r="U90" s="11" t="str" cm="1">
        <f t="array" ref="U90">IF(X90&gt;SUM(C$6:I$6),"",IF(Z90=1,INDEX(C$5:I$5,Y90),U89+AB89/24+IF(AC89,0.5/24,0)+IF(AD89,8/(60*24),0)))</f>
        <v/>
      </c>
      <c r="V90" s="7" t="str" cm="1">
        <f t="array" ref="V90">IF(X90&gt;SUM(C$6:I$6),"",INDEX(B$10:B$29,AA90))&amp;IF(R90="","",";OVT")&amp;IF(S90="","",";Pay OVT Addition")</f>
        <v/>
      </c>
      <c r="W90" s="11" t="str">
        <f t="shared" si="22"/>
        <v/>
      </c>
      <c r="X90" s="7">
        <v>81</v>
      </c>
      <c r="Y90" s="7" t="str">
        <f t="shared" si="23"/>
        <v/>
      </c>
      <c r="Z90" s="7" t="str">
        <f t="shared" si="24"/>
        <v/>
      </c>
      <c r="AA90" s="7" t="str">
        <f t="shared" si="25"/>
        <v/>
      </c>
      <c r="AB90" s="8" t="str" cm="1">
        <f t="array" ref="AB90">IF(X90&gt;SUM(C$6:I$6),"",INDEX(C$10:I$29,AA90,Y90))</f>
        <v/>
      </c>
      <c r="AC90" s="13" t="str">
        <f>IF(X90&gt;SUM(C$6:I$6),"",AND(SUMIF(Y$10:Y90,Y90,AB$10:AB90)-AB90&lt;4,SUMIF(Y$10:Y90,Y90,AB$10:AB90)&gt;=4))</f>
        <v/>
      </c>
      <c r="AD90" s="13" t="str">
        <f t="shared" si="26"/>
        <v/>
      </c>
      <c r="AE90" s="13" t="str">
        <f t="shared" si="27"/>
        <v/>
      </c>
    </row>
    <row r="91" spans="18:31" x14ac:dyDescent="0.25">
      <c r="R91" s="12"/>
      <c r="S91" s="12"/>
      <c r="T91" s="10" t="str" cm="1">
        <f t="array" ref="T91">IF(OR(X91&gt;SUM(C$6:I$6),Y90=Y91),"",INDEX(C$8:I$8,Y91))</f>
        <v/>
      </c>
      <c r="U91" s="11" t="str" cm="1">
        <f t="array" ref="U91">IF(X91&gt;SUM(C$6:I$6),"",IF(Z91=1,INDEX(C$5:I$5,Y91),U90+AB90/24+IF(AC90,0.5/24,0)+IF(AD90,8/(60*24),0)))</f>
        <v/>
      </c>
      <c r="V91" s="7" t="str" cm="1">
        <f t="array" ref="V91">IF(X91&gt;SUM(C$6:I$6),"",INDEX(B$10:B$29,AA91))&amp;IF(R91="","",";OVT")&amp;IF(S91="","",";Pay OVT Addition")</f>
        <v/>
      </c>
      <c r="W91" s="11" t="str">
        <f t="shared" si="22"/>
        <v/>
      </c>
      <c r="X91" s="7">
        <v>82</v>
      </c>
      <c r="Y91" s="7" t="str">
        <f t="shared" si="23"/>
        <v/>
      </c>
      <c r="Z91" s="7" t="str">
        <f t="shared" si="24"/>
        <v/>
      </c>
      <c r="AA91" s="7" t="str">
        <f t="shared" si="25"/>
        <v/>
      </c>
      <c r="AB91" s="8" t="str" cm="1">
        <f t="array" ref="AB91">IF(X91&gt;SUM(C$6:I$6),"",INDEX(C$10:I$29,AA91,Y91))</f>
        <v/>
      </c>
      <c r="AC91" s="13" t="str">
        <f>IF(X91&gt;SUM(C$6:I$6),"",AND(SUMIF(Y$10:Y91,Y91,AB$10:AB91)-AB91&lt;4,SUMIF(Y$10:Y91,Y91,AB$10:AB91)&gt;=4))</f>
        <v/>
      </c>
      <c r="AD91" s="13" t="str">
        <f t="shared" si="26"/>
        <v/>
      </c>
      <c r="AE91" s="13" t="str">
        <f t="shared" si="27"/>
        <v/>
      </c>
    </row>
    <row r="92" spans="18:31" x14ac:dyDescent="0.25">
      <c r="R92" s="12"/>
      <c r="S92" s="12"/>
      <c r="T92" s="10" t="str" cm="1">
        <f t="array" ref="T92">IF(OR(X92&gt;SUM(C$6:I$6),Y91=Y92),"",INDEX(C$8:I$8,Y92))</f>
        <v/>
      </c>
      <c r="U92" s="11" t="str" cm="1">
        <f t="array" ref="U92">IF(X92&gt;SUM(C$6:I$6),"",IF(Z92=1,INDEX(C$5:I$5,Y92),U91+AB91/24+IF(AC91,0.5/24,0)+IF(AD91,8/(60*24),0)))</f>
        <v/>
      </c>
      <c r="V92" s="7" t="str" cm="1">
        <f t="array" ref="V92">IF(X92&gt;SUM(C$6:I$6),"",INDEX(B$10:B$29,AA92))&amp;IF(R92="","",";OVT")&amp;IF(S92="","",";Pay OVT Addition")</f>
        <v/>
      </c>
      <c r="W92" s="11" t="str">
        <f t="shared" si="22"/>
        <v/>
      </c>
      <c r="X92" s="7">
        <v>83</v>
      </c>
      <c r="Y92" s="7" t="str">
        <f t="shared" si="23"/>
        <v/>
      </c>
      <c r="Z92" s="7" t="str">
        <f t="shared" si="24"/>
        <v/>
      </c>
      <c r="AA92" s="7" t="str">
        <f t="shared" si="25"/>
        <v/>
      </c>
      <c r="AB92" s="8" t="str" cm="1">
        <f t="array" ref="AB92">IF(X92&gt;SUM(C$6:I$6),"",INDEX(C$10:I$29,AA92,Y92))</f>
        <v/>
      </c>
      <c r="AC92" s="13" t="str">
        <f>IF(X92&gt;SUM(C$6:I$6),"",AND(SUMIF(Y$10:Y92,Y92,AB$10:AB92)-AB92&lt;4,SUMIF(Y$10:Y92,Y92,AB$10:AB92)&gt;=4))</f>
        <v/>
      </c>
      <c r="AD92" s="13" t="str">
        <f t="shared" si="26"/>
        <v/>
      </c>
      <c r="AE92" s="13" t="str">
        <f t="shared" si="27"/>
        <v/>
      </c>
    </row>
    <row r="93" spans="18:31" x14ac:dyDescent="0.25">
      <c r="R93" s="12"/>
      <c r="S93" s="12"/>
      <c r="T93" s="10" t="str" cm="1">
        <f t="array" ref="T93">IF(OR(X93&gt;SUM(C$6:I$6),Y92=Y93),"",INDEX(C$8:I$8,Y93))</f>
        <v/>
      </c>
      <c r="U93" s="11" t="str" cm="1">
        <f t="array" ref="U93">IF(X93&gt;SUM(C$6:I$6),"",IF(Z93=1,INDEX(C$5:I$5,Y93),U92+AB92/24+IF(AC92,0.5/24,0)+IF(AD92,8/(60*24),0)))</f>
        <v/>
      </c>
      <c r="V93" s="7" t="str" cm="1">
        <f t="array" ref="V93">IF(X93&gt;SUM(C$6:I$6),"",INDEX(B$10:B$29,AA93))&amp;IF(R93="","",";OVT")&amp;IF(S93="","",";Pay OVT Addition")</f>
        <v/>
      </c>
      <c r="W93" s="11" t="str">
        <f t="shared" si="22"/>
        <v/>
      </c>
      <c r="X93" s="7">
        <v>84</v>
      </c>
      <c r="Y93" s="7" t="str">
        <f t="shared" si="23"/>
        <v/>
      </c>
      <c r="Z93" s="7" t="str">
        <f t="shared" si="24"/>
        <v/>
      </c>
      <c r="AA93" s="7" t="str">
        <f t="shared" si="25"/>
        <v/>
      </c>
      <c r="AB93" s="8" t="str" cm="1">
        <f t="array" ref="AB93">IF(X93&gt;SUM(C$6:I$6),"",INDEX(C$10:I$29,AA93,Y93))</f>
        <v/>
      </c>
      <c r="AC93" s="13" t="str">
        <f>IF(X93&gt;SUM(C$6:I$6),"",AND(SUMIF(Y$10:Y93,Y93,AB$10:AB93)-AB93&lt;4,SUMIF(Y$10:Y93,Y93,AB$10:AB93)&gt;=4))</f>
        <v/>
      </c>
      <c r="AD93" s="13" t="str">
        <f t="shared" si="26"/>
        <v/>
      </c>
      <c r="AE93" s="13" t="str">
        <f t="shared" si="27"/>
        <v/>
      </c>
    </row>
    <row r="94" spans="18:31" x14ac:dyDescent="0.25">
      <c r="R94" s="12"/>
      <c r="S94" s="12"/>
      <c r="T94" s="10" t="str" cm="1">
        <f t="array" ref="T94">IF(OR(X94&gt;SUM(C$6:I$6),Y93=Y94),"",INDEX(C$8:I$8,Y94))</f>
        <v/>
      </c>
      <c r="U94" s="11" t="str" cm="1">
        <f t="array" ref="U94">IF(X94&gt;SUM(C$6:I$6),"",IF(Z94=1,INDEX(C$5:I$5,Y94),U93+AB93/24+IF(AC93,0.5/24,0)+IF(AD93,8/(60*24),0)))</f>
        <v/>
      </c>
      <c r="V94" s="7" t="str" cm="1">
        <f t="array" ref="V94">IF(X94&gt;SUM(C$6:I$6),"",INDEX(B$10:B$29,AA94))&amp;IF(R94="","",";OVT")&amp;IF(S94="","",";Pay OVT Addition")</f>
        <v/>
      </c>
      <c r="W94" s="11" t="str">
        <f t="shared" si="22"/>
        <v/>
      </c>
      <c r="X94" s="7">
        <v>85</v>
      </c>
      <c r="Y94" s="7" t="str">
        <f t="shared" si="23"/>
        <v/>
      </c>
      <c r="Z94" s="7" t="str">
        <f t="shared" si="24"/>
        <v/>
      </c>
      <c r="AA94" s="7" t="str">
        <f t="shared" si="25"/>
        <v/>
      </c>
      <c r="AB94" s="8" t="str" cm="1">
        <f t="array" ref="AB94">IF(X94&gt;SUM(C$6:I$6),"",INDEX(C$10:I$29,AA94,Y94))</f>
        <v/>
      </c>
      <c r="AC94" s="13" t="str">
        <f>IF(X94&gt;SUM(C$6:I$6),"",AND(SUMIF(Y$10:Y94,Y94,AB$10:AB94)-AB94&lt;4,SUMIF(Y$10:Y94,Y94,AB$10:AB94)&gt;=4))</f>
        <v/>
      </c>
      <c r="AD94" s="13" t="str">
        <f t="shared" si="26"/>
        <v/>
      </c>
      <c r="AE94" s="13" t="str">
        <f t="shared" si="27"/>
        <v/>
      </c>
    </row>
    <row r="95" spans="18:31" x14ac:dyDescent="0.25">
      <c r="R95" s="12"/>
      <c r="S95" s="12"/>
      <c r="T95" s="10" t="str" cm="1">
        <f t="array" ref="T95">IF(OR(X95&gt;SUM(C$6:I$6),Y94=Y95),"",INDEX(C$8:I$8,Y95))</f>
        <v/>
      </c>
      <c r="U95" s="11" t="str" cm="1">
        <f t="array" ref="U95">IF(X95&gt;SUM(C$6:I$6),"",IF(Z95=1,INDEX(C$5:I$5,Y95),U94+AB94/24+IF(AC94,0.5/24,0)+IF(AD94,8/(60*24),0)))</f>
        <v/>
      </c>
      <c r="V95" s="7" t="str" cm="1">
        <f t="array" ref="V95">IF(X95&gt;SUM(C$6:I$6),"",INDEX(B$10:B$29,AA95))&amp;IF(R95="","",";OVT")&amp;IF(S95="","",";Pay OVT Addition")</f>
        <v/>
      </c>
      <c r="W95" s="11" t="str">
        <f t="shared" si="22"/>
        <v/>
      </c>
      <c r="X95" s="7">
        <v>86</v>
      </c>
      <c r="Y95" s="7" t="str">
        <f t="shared" si="23"/>
        <v/>
      </c>
      <c r="Z95" s="7" t="str">
        <f t="shared" si="24"/>
        <v/>
      </c>
      <c r="AA95" s="7" t="str">
        <f t="shared" si="25"/>
        <v/>
      </c>
      <c r="AB95" s="8" t="str" cm="1">
        <f t="array" ref="AB95">IF(X95&gt;SUM(C$6:I$6),"",INDEX(C$10:I$29,AA95,Y95))</f>
        <v/>
      </c>
      <c r="AC95" s="13" t="str">
        <f>IF(X95&gt;SUM(C$6:I$6),"",AND(SUMIF(Y$10:Y95,Y95,AB$10:AB95)-AB95&lt;4,SUMIF(Y$10:Y95,Y95,AB$10:AB95)&gt;=4))</f>
        <v/>
      </c>
      <c r="AD95" s="13" t="str">
        <f t="shared" si="26"/>
        <v/>
      </c>
      <c r="AE95" s="13" t="str">
        <f t="shared" si="27"/>
        <v/>
      </c>
    </row>
    <row r="96" spans="18:31" x14ac:dyDescent="0.25">
      <c r="R96" s="12"/>
      <c r="S96" s="12"/>
      <c r="T96" s="10" t="str" cm="1">
        <f t="array" ref="T96">IF(OR(X96&gt;SUM(C$6:I$6),Y95=Y96),"",INDEX(C$8:I$8,Y96))</f>
        <v/>
      </c>
      <c r="U96" s="11" t="str" cm="1">
        <f t="array" ref="U96">IF(X96&gt;SUM(C$6:I$6),"",IF(Z96=1,INDEX(C$5:I$5,Y96),U95+AB95/24+IF(AC95,0.5/24,0)+IF(AD95,8/(60*24),0)))</f>
        <v/>
      </c>
      <c r="V96" s="7" t="str" cm="1">
        <f t="array" ref="V96">IF(X96&gt;SUM(C$6:I$6),"",INDEX(B$10:B$29,AA96))&amp;IF(R96="","",";OVT")&amp;IF(S96="","",";Pay OVT Addition")</f>
        <v/>
      </c>
      <c r="W96" s="11" t="str">
        <f t="shared" si="22"/>
        <v/>
      </c>
      <c r="X96" s="7">
        <v>87</v>
      </c>
      <c r="Y96" s="7" t="str">
        <f t="shared" si="23"/>
        <v/>
      </c>
      <c r="Z96" s="7" t="str">
        <f t="shared" si="24"/>
        <v/>
      </c>
      <c r="AA96" s="7" t="str">
        <f t="shared" si="25"/>
        <v/>
      </c>
      <c r="AB96" s="8" t="str" cm="1">
        <f t="array" ref="AB96">IF(X96&gt;SUM(C$6:I$6),"",INDEX(C$10:I$29,AA96,Y96))</f>
        <v/>
      </c>
      <c r="AC96" s="13" t="str">
        <f>IF(X96&gt;SUM(C$6:I$6),"",AND(SUMIF(Y$10:Y96,Y96,AB$10:AB96)-AB96&lt;4,SUMIF(Y$10:Y96,Y96,AB$10:AB96)&gt;=4))</f>
        <v/>
      </c>
      <c r="AD96" s="13" t="str">
        <f t="shared" si="26"/>
        <v/>
      </c>
      <c r="AE96" s="13" t="str">
        <f t="shared" si="27"/>
        <v/>
      </c>
    </row>
    <row r="97" spans="18:31" x14ac:dyDescent="0.25">
      <c r="R97" s="12"/>
      <c r="S97" s="12"/>
      <c r="T97" s="10" t="str" cm="1">
        <f t="array" ref="T97">IF(OR(X97&gt;SUM(C$6:I$6),Y96=Y97),"",INDEX(C$8:I$8,Y97))</f>
        <v/>
      </c>
      <c r="U97" s="11" t="str" cm="1">
        <f t="array" ref="U97">IF(X97&gt;SUM(C$6:I$6),"",IF(Z97=1,INDEX(C$5:I$5,Y97),U96+AB96/24+IF(AC96,0.5/24,0)+IF(AD96,8/(60*24),0)))</f>
        <v/>
      </c>
      <c r="V97" s="7" t="str" cm="1">
        <f t="array" ref="V97">IF(X97&gt;SUM(C$6:I$6),"",INDEX(B$10:B$29,AA97))&amp;IF(R97="","",";OVT")&amp;IF(S97="","",";Pay OVT Addition")</f>
        <v/>
      </c>
      <c r="W97" s="11" t="str">
        <f t="shared" si="22"/>
        <v/>
      </c>
      <c r="X97" s="7">
        <v>88</v>
      </c>
      <c r="Y97" s="7" t="str">
        <f t="shared" si="23"/>
        <v/>
      </c>
      <c r="Z97" s="7" t="str">
        <f t="shared" si="24"/>
        <v/>
      </c>
      <c r="AA97" s="7" t="str">
        <f t="shared" si="25"/>
        <v/>
      </c>
      <c r="AB97" s="8" t="str" cm="1">
        <f t="array" ref="AB97">IF(X97&gt;SUM(C$6:I$6),"",INDEX(C$10:I$29,AA97,Y97))</f>
        <v/>
      </c>
      <c r="AC97" s="13" t="str">
        <f>IF(X97&gt;SUM(C$6:I$6),"",AND(SUMIF(Y$10:Y97,Y97,AB$10:AB97)-AB97&lt;4,SUMIF(Y$10:Y97,Y97,AB$10:AB97)&gt;=4))</f>
        <v/>
      </c>
      <c r="AD97" s="13" t="str">
        <f t="shared" si="26"/>
        <v/>
      </c>
      <c r="AE97" s="13" t="str">
        <f t="shared" si="27"/>
        <v/>
      </c>
    </row>
    <row r="98" spans="18:31" x14ac:dyDescent="0.25">
      <c r="R98" s="12"/>
      <c r="S98" s="12"/>
      <c r="T98" s="10" t="str" cm="1">
        <f t="array" ref="T98">IF(OR(X98&gt;SUM(C$6:I$6),Y97=Y98),"",INDEX(C$8:I$8,Y98))</f>
        <v/>
      </c>
      <c r="U98" s="11" t="str" cm="1">
        <f t="array" ref="U98">IF(X98&gt;SUM(C$6:I$6),"",IF(Z98=1,INDEX(C$5:I$5,Y98),U97+AB97/24+IF(AC97,0.5/24,0)+IF(AD97,8/(60*24),0)))</f>
        <v/>
      </c>
      <c r="V98" s="7" t="str" cm="1">
        <f t="array" ref="V98">IF(X98&gt;SUM(C$6:I$6),"",INDEX(B$10:B$29,AA98))&amp;IF(R98="","",";OVT")&amp;IF(S98="","",";Pay OVT Addition")</f>
        <v/>
      </c>
      <c r="W98" s="11" t="str">
        <f t="shared" si="22"/>
        <v/>
      </c>
      <c r="X98" s="7">
        <v>89</v>
      </c>
      <c r="Y98" s="7" t="str">
        <f t="shared" si="23"/>
        <v/>
      </c>
      <c r="Z98" s="7" t="str">
        <f t="shared" si="24"/>
        <v/>
      </c>
      <c r="AA98" s="7" t="str">
        <f t="shared" si="25"/>
        <v/>
      </c>
      <c r="AB98" s="8" t="str" cm="1">
        <f t="array" ref="AB98">IF(X98&gt;SUM(C$6:I$6),"",INDEX(C$10:I$29,AA98,Y98))</f>
        <v/>
      </c>
      <c r="AC98" s="13" t="str">
        <f>IF(X98&gt;SUM(C$6:I$6),"",AND(SUMIF(Y$10:Y98,Y98,AB$10:AB98)-AB98&lt;4,SUMIF(Y$10:Y98,Y98,AB$10:AB98)&gt;=4))</f>
        <v/>
      </c>
      <c r="AD98" s="13" t="str">
        <f t="shared" si="26"/>
        <v/>
      </c>
      <c r="AE98" s="13" t="str">
        <f t="shared" si="27"/>
        <v/>
      </c>
    </row>
    <row r="99" spans="18:31" x14ac:dyDescent="0.25">
      <c r="R99" s="12"/>
      <c r="S99" s="12"/>
      <c r="T99" s="10" t="str" cm="1">
        <f t="array" ref="T99">IF(OR(X99&gt;SUM(C$6:I$6),Y98=Y99),"",INDEX(C$8:I$8,Y99))</f>
        <v/>
      </c>
      <c r="U99" s="11" t="str" cm="1">
        <f t="array" ref="U99">IF(X99&gt;SUM(C$6:I$6),"",IF(Z99=1,INDEX(C$5:I$5,Y99),U98+AB98/24+IF(AC98,0.5/24,0)+IF(AD98,8/(60*24),0)))</f>
        <v/>
      </c>
      <c r="V99" s="7" t="str" cm="1">
        <f t="array" ref="V99">IF(X99&gt;SUM(C$6:I$6),"",INDEX(B$10:B$29,AA99))&amp;IF(R99="","",";OVT")&amp;IF(S99="","",";Pay OVT Addition")</f>
        <v/>
      </c>
      <c r="W99" s="11" t="str">
        <f t="shared" si="22"/>
        <v/>
      </c>
      <c r="X99" s="7">
        <v>90</v>
      </c>
      <c r="Y99" s="7" t="str">
        <f t="shared" si="23"/>
        <v/>
      </c>
      <c r="Z99" s="7" t="str">
        <f t="shared" si="24"/>
        <v/>
      </c>
      <c r="AA99" s="7" t="str">
        <f t="shared" si="25"/>
        <v/>
      </c>
      <c r="AB99" s="8" t="str" cm="1">
        <f t="array" ref="AB99">IF(X99&gt;SUM(C$6:I$6),"",INDEX(C$10:I$29,AA99,Y99))</f>
        <v/>
      </c>
      <c r="AC99" s="13" t="str">
        <f>IF(X99&gt;SUM(C$6:I$6),"",AND(SUMIF(Y$10:Y99,Y99,AB$10:AB99)-AB99&lt;4,SUMIF(Y$10:Y99,Y99,AB$10:AB99)&gt;=4))</f>
        <v/>
      </c>
      <c r="AD99" s="13" t="str">
        <f t="shared" si="26"/>
        <v/>
      </c>
      <c r="AE99" s="13" t="str">
        <f t="shared" si="27"/>
        <v/>
      </c>
    </row>
    <row r="100" spans="18:31" x14ac:dyDescent="0.25">
      <c r="R100" s="12"/>
      <c r="S100" s="12"/>
      <c r="T100" s="10" t="str" cm="1">
        <f t="array" ref="T100">IF(OR(X100&gt;SUM(C$6:I$6),Y99=Y100),"",INDEX(C$8:I$8,Y100))</f>
        <v/>
      </c>
      <c r="U100" s="11" t="str" cm="1">
        <f t="array" ref="U100">IF(X100&gt;SUM(C$6:I$6),"",IF(Z100=1,INDEX(C$5:I$5,Y100),U99+AB99/24+IF(AC99,0.5/24,0)+IF(AD99,8/(60*24),0)))</f>
        <v/>
      </c>
      <c r="V100" s="7" t="str" cm="1">
        <f t="array" ref="V100">IF(X100&gt;SUM(C$6:I$6),"",INDEX(B$10:B$29,AA100))&amp;IF(R100="","",";OVT")&amp;IF(S100="","",";Pay OVT Addition")</f>
        <v/>
      </c>
      <c r="W100" s="11" t="str">
        <f t="shared" si="22"/>
        <v/>
      </c>
      <c r="X100" s="7">
        <v>91</v>
      </c>
      <c r="Y100" s="7" t="str">
        <f t="shared" si="23"/>
        <v/>
      </c>
      <c r="Z100" s="7" t="str">
        <f t="shared" si="24"/>
        <v/>
      </c>
      <c r="AA100" s="7" t="str">
        <f t="shared" si="25"/>
        <v/>
      </c>
      <c r="AB100" s="8" t="str" cm="1">
        <f t="array" ref="AB100">IF(X100&gt;SUM(C$6:I$6),"",INDEX(C$10:I$29,AA100,Y100))</f>
        <v/>
      </c>
      <c r="AC100" s="13" t="str">
        <f>IF(X100&gt;SUM(C$6:I$6),"",AND(SUMIF(Y$10:Y100,Y100,AB$10:AB100)-AB100&lt;4,SUMIF(Y$10:Y100,Y100,AB$10:AB100)&gt;=4))</f>
        <v/>
      </c>
      <c r="AD100" s="13" t="str">
        <f t="shared" si="26"/>
        <v/>
      </c>
      <c r="AE100" s="13" t="str">
        <f t="shared" si="27"/>
        <v/>
      </c>
    </row>
    <row r="101" spans="18:31" x14ac:dyDescent="0.25">
      <c r="R101" s="12"/>
      <c r="S101" s="12"/>
      <c r="T101" s="10" t="str" cm="1">
        <f t="array" ref="T101">IF(OR(X101&gt;SUM(C$6:I$6),Y100=Y101),"",INDEX(C$8:I$8,Y101))</f>
        <v/>
      </c>
      <c r="U101" s="11" t="str" cm="1">
        <f t="array" ref="U101">IF(X101&gt;SUM(C$6:I$6),"",IF(Z101=1,INDEX(C$5:I$5,Y101),U100+AB100/24+IF(AC100,0.5/24,0)+IF(AD100,8/(60*24),0)))</f>
        <v/>
      </c>
      <c r="V101" s="7" t="str" cm="1">
        <f t="array" ref="V101">IF(X101&gt;SUM(C$6:I$6),"",INDEX(B$10:B$29,AA101))&amp;IF(R101="","",";OVT")&amp;IF(S101="","",";Pay OVT Addition")</f>
        <v/>
      </c>
      <c r="W101" s="11" t="str">
        <f t="shared" si="22"/>
        <v/>
      </c>
      <c r="X101" s="7">
        <v>92</v>
      </c>
      <c r="Y101" s="7" t="str">
        <f t="shared" si="23"/>
        <v/>
      </c>
      <c r="Z101" s="7" t="str">
        <f t="shared" si="24"/>
        <v/>
      </c>
      <c r="AA101" s="7" t="str">
        <f t="shared" si="25"/>
        <v/>
      </c>
      <c r="AB101" s="8" t="str" cm="1">
        <f t="array" ref="AB101">IF(X101&gt;SUM(C$6:I$6),"",INDEX(C$10:I$29,AA101,Y101))</f>
        <v/>
      </c>
      <c r="AC101" s="13" t="str">
        <f>IF(X101&gt;SUM(C$6:I$6),"",AND(SUMIF(Y$10:Y101,Y101,AB$10:AB101)-AB101&lt;4,SUMIF(Y$10:Y101,Y101,AB$10:AB101)&gt;=4))</f>
        <v/>
      </c>
      <c r="AD101" s="13" t="str">
        <f t="shared" si="26"/>
        <v/>
      </c>
      <c r="AE101" s="13" t="str">
        <f t="shared" si="27"/>
        <v/>
      </c>
    </row>
    <row r="102" spans="18:31" x14ac:dyDescent="0.25">
      <c r="R102" s="12"/>
      <c r="S102" s="12"/>
      <c r="T102" s="10" t="str" cm="1">
        <f t="array" ref="T102">IF(OR(X102&gt;SUM(C$6:I$6),Y101=Y102),"",INDEX(C$8:I$8,Y102))</f>
        <v/>
      </c>
      <c r="U102" s="11" t="str" cm="1">
        <f t="array" ref="U102">IF(X102&gt;SUM(C$6:I$6),"",IF(Z102=1,INDEX(C$5:I$5,Y102),U101+AB101/24+IF(AC101,0.5/24,0)+IF(AD101,8/(60*24),0)))</f>
        <v/>
      </c>
      <c r="V102" s="7" t="str" cm="1">
        <f t="array" ref="V102">IF(X102&gt;SUM(C$6:I$6),"",INDEX(B$10:B$29,AA102))&amp;IF(R102="","",";OVT")&amp;IF(S102="","",";Pay OVT Addition")</f>
        <v/>
      </c>
      <c r="W102" s="11" t="str">
        <f t="shared" si="22"/>
        <v/>
      </c>
      <c r="X102" s="7">
        <v>93</v>
      </c>
      <c r="Y102" s="7" t="str">
        <f t="shared" si="23"/>
        <v/>
      </c>
      <c r="Z102" s="7" t="str">
        <f t="shared" si="24"/>
        <v/>
      </c>
      <c r="AA102" s="7" t="str">
        <f t="shared" si="25"/>
        <v/>
      </c>
      <c r="AB102" s="8" t="str" cm="1">
        <f t="array" ref="AB102">IF(X102&gt;SUM(C$6:I$6),"",INDEX(C$10:I$29,AA102,Y102))</f>
        <v/>
      </c>
      <c r="AC102" s="13" t="str">
        <f>IF(X102&gt;SUM(C$6:I$6),"",AND(SUMIF(Y$10:Y102,Y102,AB$10:AB102)-AB102&lt;4,SUMIF(Y$10:Y102,Y102,AB$10:AB102)&gt;=4))</f>
        <v/>
      </c>
      <c r="AD102" s="13" t="str">
        <f t="shared" si="26"/>
        <v/>
      </c>
      <c r="AE102" s="13" t="str">
        <f t="shared" si="27"/>
        <v/>
      </c>
    </row>
    <row r="103" spans="18:31" x14ac:dyDescent="0.25">
      <c r="R103" s="12"/>
      <c r="S103" s="12"/>
      <c r="T103" s="10" t="str" cm="1">
        <f t="array" ref="T103">IF(OR(X103&gt;SUM(C$6:I$6),Y102=Y103),"",INDEX(C$8:I$8,Y103))</f>
        <v/>
      </c>
      <c r="U103" s="11" t="str" cm="1">
        <f t="array" ref="U103">IF(X103&gt;SUM(C$6:I$6),"",IF(Z103=1,INDEX(C$5:I$5,Y103),U102+AB102/24+IF(AC102,0.5/24,0)+IF(AD102,8/(60*24),0)))</f>
        <v/>
      </c>
      <c r="V103" s="7" t="str" cm="1">
        <f t="array" ref="V103">IF(X103&gt;SUM(C$6:I$6),"",INDEX(B$10:B$29,AA103))&amp;IF(R103="","",";OVT")&amp;IF(S103="","",";Pay OVT Addition")</f>
        <v/>
      </c>
      <c r="W103" s="11" t="str">
        <f t="shared" si="22"/>
        <v/>
      </c>
      <c r="X103" s="7">
        <v>94</v>
      </c>
      <c r="Y103" s="7" t="str">
        <f t="shared" si="23"/>
        <v/>
      </c>
      <c r="Z103" s="7" t="str">
        <f t="shared" si="24"/>
        <v/>
      </c>
      <c r="AA103" s="7" t="str">
        <f t="shared" si="25"/>
        <v/>
      </c>
      <c r="AB103" s="8" t="str" cm="1">
        <f t="array" ref="AB103">IF(X103&gt;SUM(C$6:I$6),"",INDEX(C$10:I$29,AA103,Y103))</f>
        <v/>
      </c>
      <c r="AC103" s="13" t="str">
        <f>IF(X103&gt;SUM(C$6:I$6),"",AND(SUMIF(Y$10:Y103,Y103,AB$10:AB103)-AB103&lt;4,SUMIF(Y$10:Y103,Y103,AB$10:AB103)&gt;=4))</f>
        <v/>
      </c>
      <c r="AD103" s="13" t="str">
        <f t="shared" si="26"/>
        <v/>
      </c>
      <c r="AE103" s="13" t="str">
        <f t="shared" si="27"/>
        <v/>
      </c>
    </row>
    <row r="104" spans="18:31" x14ac:dyDescent="0.25">
      <c r="R104" s="12"/>
      <c r="S104" s="12"/>
      <c r="T104" s="10" t="str" cm="1">
        <f t="array" ref="T104">IF(OR(X104&gt;SUM(C$6:I$6),Y103=Y104),"",INDEX(C$8:I$8,Y104))</f>
        <v/>
      </c>
      <c r="U104" s="11" t="str" cm="1">
        <f t="array" ref="U104">IF(X104&gt;SUM(C$6:I$6),"",IF(Z104=1,INDEX(C$5:I$5,Y104),U103+AB103/24+IF(AC103,0.5/24,0)+IF(AD103,8/(60*24),0)))</f>
        <v/>
      </c>
      <c r="V104" s="7" t="str" cm="1">
        <f t="array" ref="V104">IF(X104&gt;SUM(C$6:I$6),"",INDEX(B$10:B$29,AA104))&amp;IF(R104="","",";OVT")&amp;IF(S104="","",";Pay OVT Addition")</f>
        <v/>
      </c>
      <c r="W104" s="11" t="str">
        <f t="shared" si="22"/>
        <v/>
      </c>
      <c r="X104" s="7">
        <v>95</v>
      </c>
      <c r="Y104" s="7" t="str">
        <f t="shared" si="23"/>
        <v/>
      </c>
      <c r="Z104" s="7" t="str">
        <f t="shared" si="24"/>
        <v/>
      </c>
      <c r="AA104" s="7" t="str">
        <f t="shared" si="25"/>
        <v/>
      </c>
      <c r="AB104" s="8" t="str" cm="1">
        <f t="array" ref="AB104">IF(X104&gt;SUM(C$6:I$6),"",INDEX(C$10:I$29,AA104,Y104))</f>
        <v/>
      </c>
      <c r="AC104" s="13" t="str">
        <f>IF(X104&gt;SUM(C$6:I$6),"",AND(SUMIF(Y$10:Y104,Y104,AB$10:AB104)-AB104&lt;4,SUMIF(Y$10:Y104,Y104,AB$10:AB104)&gt;=4))</f>
        <v/>
      </c>
      <c r="AD104" s="13" t="str">
        <f t="shared" si="26"/>
        <v/>
      </c>
      <c r="AE104" s="13" t="str">
        <f t="shared" si="27"/>
        <v/>
      </c>
    </row>
    <row r="105" spans="18:31" x14ac:dyDescent="0.25">
      <c r="R105" s="12"/>
      <c r="S105" s="12"/>
      <c r="T105" s="10" t="str" cm="1">
        <f t="array" ref="T105">IF(OR(X105&gt;SUM(C$6:I$6),Y104=Y105),"",INDEX(C$8:I$8,Y105))</f>
        <v/>
      </c>
      <c r="U105" s="11" t="str" cm="1">
        <f t="array" ref="U105">IF(X105&gt;SUM(C$6:I$6),"",IF(Z105=1,INDEX(C$5:I$5,Y105),U104+AB104/24+IF(AC104,0.5/24,0)+IF(AD104,8/(60*24),0)))</f>
        <v/>
      </c>
      <c r="V105" s="7" t="str" cm="1">
        <f t="array" ref="V105">IF(X105&gt;SUM(C$6:I$6),"",INDEX(B$10:B$29,AA105))&amp;IF(R105="","",";OVT")&amp;IF(S105="","",";Pay OVT Addition")</f>
        <v/>
      </c>
      <c r="W105" s="11" t="str">
        <f t="shared" ref="W105:W148" si="28">IF(OR(X105&gt;SUM(C$6:I$6),Y105=Y106),"",U105+AB105/24+IF(AC105,0.5/24,0)+IF(AD105,8/(60*24),0))</f>
        <v/>
      </c>
      <c r="X105" s="7">
        <v>96</v>
      </c>
      <c r="Y105" s="7" t="str">
        <f t="shared" ref="Y105:Y148" si="29">IF(X105&gt;SUM(C$6:I$6),"",MATCH(X105-1,J$6:P$6,1))</f>
        <v/>
      </c>
      <c r="Z105" s="7" t="str">
        <f t="shared" ref="Z105:Z148" si="30">IF(X105&gt;SUM(C$6:I$6),"",IF(Y105=Y104,Z104+1,1))</f>
        <v/>
      </c>
      <c r="AA105" s="7" t="str">
        <f t="shared" ref="AA105:AA148" si="31">IF(X105&gt;SUM(C$6:I$6),"",MATCH(Z105,CHOOSE(Y105,J$10:J$29,K$10:K$29,L$10:L$29,M$10:M$29,N$10:N$29,O$10:O$29,P$10:P$29),0))</f>
        <v/>
      </c>
      <c r="AB105" s="8" t="str" cm="1">
        <f t="array" ref="AB105">IF(X105&gt;SUM(C$6:I$6),"",INDEX(C$10:I$29,AA105,Y105))</f>
        <v/>
      </c>
      <c r="AC105" s="13" t="str">
        <f>IF(X105&gt;SUM(C$6:I$6),"",AND(SUMIF(Y$10:Y105,Y105,AB$10:AB105)-AB105&lt;4,SUMIF(Y$10:Y105,Y105,AB$10:AB105)&gt;=4))</f>
        <v/>
      </c>
      <c r="AD105" s="13" t="str">
        <f t="shared" ref="AD105:AD148" si="32">IF(X105&gt;SUM(C$6:I$6),"",AND($C$4,Z105=1))</f>
        <v/>
      </c>
      <c r="AE105" s="13" t="str">
        <f t="shared" ref="AE105:AE148" si="33">IF(X105&gt;SUM(C$6:I$6),"",OR(SUMIF(Y$10:Y$39,Y105,AB$10:AB$39)&gt;7.5,Y105&gt;5,_xlfn.MAXIFS(W$10:W$39,Y$10:Y$39,Y105)&gt;21/24))</f>
        <v/>
      </c>
    </row>
    <row r="106" spans="18:31" x14ac:dyDescent="0.25">
      <c r="R106" s="12"/>
      <c r="S106" s="12"/>
      <c r="T106" s="10" t="str" cm="1">
        <f t="array" ref="T106">IF(OR(X106&gt;SUM(C$6:I$6),Y105=Y106),"",INDEX(C$8:I$8,Y106))</f>
        <v/>
      </c>
      <c r="U106" s="11" t="str" cm="1">
        <f t="array" ref="U106">IF(X106&gt;SUM(C$6:I$6),"",IF(Z106=1,INDEX(C$5:I$5,Y106),U105+AB105/24+IF(AC105,0.5/24,0)+IF(AD105,8/(60*24),0)))</f>
        <v/>
      </c>
      <c r="V106" s="7" t="str" cm="1">
        <f t="array" ref="V106">IF(X106&gt;SUM(C$6:I$6),"",INDEX(B$10:B$29,AA106))&amp;IF(R106="","",";OVT")&amp;IF(S106="","",";Pay OVT Addition")</f>
        <v/>
      </c>
      <c r="W106" s="11" t="str">
        <f t="shared" si="28"/>
        <v/>
      </c>
      <c r="X106" s="7">
        <v>97</v>
      </c>
      <c r="Y106" s="7" t="str">
        <f t="shared" si="29"/>
        <v/>
      </c>
      <c r="Z106" s="7" t="str">
        <f t="shared" si="30"/>
        <v/>
      </c>
      <c r="AA106" s="7" t="str">
        <f t="shared" si="31"/>
        <v/>
      </c>
      <c r="AB106" s="8" t="str" cm="1">
        <f t="array" ref="AB106">IF(X106&gt;SUM(C$6:I$6),"",INDEX(C$10:I$29,AA106,Y106))</f>
        <v/>
      </c>
      <c r="AC106" s="13" t="str">
        <f>IF(X106&gt;SUM(C$6:I$6),"",AND(SUMIF(Y$10:Y106,Y106,AB$10:AB106)-AB106&lt;4,SUMIF(Y$10:Y106,Y106,AB$10:AB106)&gt;=4))</f>
        <v/>
      </c>
      <c r="AD106" s="13" t="str">
        <f t="shared" si="32"/>
        <v/>
      </c>
      <c r="AE106" s="13" t="str">
        <f t="shared" si="33"/>
        <v/>
      </c>
    </row>
    <row r="107" spans="18:31" x14ac:dyDescent="0.25">
      <c r="R107" s="12"/>
      <c r="S107" s="12"/>
      <c r="T107" s="10" t="str" cm="1">
        <f t="array" ref="T107">IF(OR(X107&gt;SUM(C$6:I$6),Y106=Y107),"",INDEX(C$8:I$8,Y107))</f>
        <v/>
      </c>
      <c r="U107" s="11" t="str" cm="1">
        <f t="array" ref="U107">IF(X107&gt;SUM(C$6:I$6),"",IF(Z107=1,INDEX(C$5:I$5,Y107),U106+AB106/24+IF(AC106,0.5/24,0)+IF(AD106,8/(60*24),0)))</f>
        <v/>
      </c>
      <c r="V107" s="7" t="str" cm="1">
        <f t="array" ref="V107">IF(X107&gt;SUM(C$6:I$6),"",INDEX(B$10:B$29,AA107))&amp;IF(R107="","",";OVT")&amp;IF(S107="","",";Pay OVT Addition")</f>
        <v/>
      </c>
      <c r="W107" s="11" t="str">
        <f t="shared" si="28"/>
        <v/>
      </c>
      <c r="X107" s="7">
        <v>98</v>
      </c>
      <c r="Y107" s="7" t="str">
        <f t="shared" si="29"/>
        <v/>
      </c>
      <c r="Z107" s="7" t="str">
        <f t="shared" si="30"/>
        <v/>
      </c>
      <c r="AA107" s="7" t="str">
        <f t="shared" si="31"/>
        <v/>
      </c>
      <c r="AB107" s="8" t="str" cm="1">
        <f t="array" ref="AB107">IF(X107&gt;SUM(C$6:I$6),"",INDEX(C$10:I$29,AA107,Y107))</f>
        <v/>
      </c>
      <c r="AC107" s="13" t="str">
        <f>IF(X107&gt;SUM(C$6:I$6),"",AND(SUMIF(Y$10:Y107,Y107,AB$10:AB107)-AB107&lt;4,SUMIF(Y$10:Y107,Y107,AB$10:AB107)&gt;=4))</f>
        <v/>
      </c>
      <c r="AD107" s="13" t="str">
        <f t="shared" si="32"/>
        <v/>
      </c>
      <c r="AE107" s="13" t="str">
        <f t="shared" si="33"/>
        <v/>
      </c>
    </row>
    <row r="108" spans="18:31" x14ac:dyDescent="0.25">
      <c r="R108" s="12"/>
      <c r="S108" s="12"/>
      <c r="T108" s="10" t="str" cm="1">
        <f t="array" ref="T108">IF(OR(X108&gt;SUM(C$6:I$6),Y107=Y108),"",INDEX(C$8:I$8,Y108))</f>
        <v/>
      </c>
      <c r="U108" s="11" t="str" cm="1">
        <f t="array" ref="U108">IF(X108&gt;SUM(C$6:I$6),"",IF(Z108=1,INDEX(C$5:I$5,Y108),U107+AB107/24+IF(AC107,0.5/24,0)+IF(AD107,8/(60*24),0)))</f>
        <v/>
      </c>
      <c r="V108" s="7" t="str" cm="1">
        <f t="array" ref="V108">IF(X108&gt;SUM(C$6:I$6),"",INDEX(B$10:B$29,AA108))&amp;IF(R108="","",";OVT")&amp;IF(S108="","",";Pay OVT Addition")</f>
        <v/>
      </c>
      <c r="W108" s="11" t="str">
        <f t="shared" si="28"/>
        <v/>
      </c>
      <c r="X108" s="7">
        <v>99</v>
      </c>
      <c r="Y108" s="7" t="str">
        <f t="shared" si="29"/>
        <v/>
      </c>
      <c r="Z108" s="7" t="str">
        <f t="shared" si="30"/>
        <v/>
      </c>
      <c r="AA108" s="7" t="str">
        <f t="shared" si="31"/>
        <v/>
      </c>
      <c r="AB108" s="8" t="str" cm="1">
        <f t="array" ref="AB108">IF(X108&gt;SUM(C$6:I$6),"",INDEX(C$10:I$29,AA108,Y108))</f>
        <v/>
      </c>
      <c r="AC108" s="13" t="str">
        <f>IF(X108&gt;SUM(C$6:I$6),"",AND(SUMIF(Y$10:Y108,Y108,AB$10:AB108)-AB108&lt;4,SUMIF(Y$10:Y108,Y108,AB$10:AB108)&gt;=4))</f>
        <v/>
      </c>
      <c r="AD108" s="13" t="str">
        <f t="shared" si="32"/>
        <v/>
      </c>
      <c r="AE108" s="13" t="str">
        <f t="shared" si="33"/>
        <v/>
      </c>
    </row>
    <row r="109" spans="18:31" x14ac:dyDescent="0.25">
      <c r="R109" s="12"/>
      <c r="S109" s="12"/>
      <c r="T109" s="10" t="str" cm="1">
        <f t="array" ref="T109">IF(OR(X109&gt;SUM(C$6:I$6),Y108=Y109),"",INDEX(C$8:I$8,Y109))</f>
        <v/>
      </c>
      <c r="U109" s="11" t="str" cm="1">
        <f t="array" ref="U109">IF(X109&gt;SUM(C$6:I$6),"",IF(Z109=1,INDEX(C$5:I$5,Y109),U108+AB108/24+IF(AC108,0.5/24,0)+IF(AD108,8/(60*24),0)))</f>
        <v/>
      </c>
      <c r="V109" s="7" t="str" cm="1">
        <f t="array" ref="V109">IF(X109&gt;SUM(C$6:I$6),"",INDEX(B$10:B$29,AA109))&amp;IF(R109="","",";OVT")&amp;IF(S109="","",";Pay OVT Addition")</f>
        <v/>
      </c>
      <c r="W109" s="11" t="str">
        <f t="shared" si="28"/>
        <v/>
      </c>
      <c r="X109" s="7">
        <v>100</v>
      </c>
      <c r="Y109" s="7" t="str">
        <f t="shared" si="29"/>
        <v/>
      </c>
      <c r="Z109" s="7" t="str">
        <f t="shared" si="30"/>
        <v/>
      </c>
      <c r="AA109" s="7" t="str">
        <f t="shared" si="31"/>
        <v/>
      </c>
      <c r="AB109" s="8" t="str" cm="1">
        <f t="array" ref="AB109">IF(X109&gt;SUM(C$6:I$6),"",INDEX(C$10:I$29,AA109,Y109))</f>
        <v/>
      </c>
      <c r="AC109" s="13" t="str">
        <f>IF(X109&gt;SUM(C$6:I$6),"",AND(SUMIF(Y$10:Y109,Y109,AB$10:AB109)-AB109&lt;4,SUMIF(Y$10:Y109,Y109,AB$10:AB109)&gt;=4))</f>
        <v/>
      </c>
      <c r="AD109" s="13" t="str">
        <f t="shared" si="32"/>
        <v/>
      </c>
      <c r="AE109" s="13" t="str">
        <f t="shared" si="33"/>
        <v/>
      </c>
    </row>
    <row r="110" spans="18:31" x14ac:dyDescent="0.25">
      <c r="R110" s="12"/>
      <c r="S110" s="12"/>
      <c r="T110" s="10" t="str" cm="1">
        <f t="array" ref="T110">IF(OR(X110&gt;SUM(C$6:I$6),Y109=Y110),"",INDEX(C$8:I$8,Y110))</f>
        <v/>
      </c>
      <c r="U110" s="11" t="str" cm="1">
        <f t="array" ref="U110">IF(X110&gt;SUM(C$6:I$6),"",IF(Z110=1,INDEX(C$5:I$5,Y110),U109+AB109/24+IF(AC109,0.5/24,0)+IF(AD109,8/(60*24),0)))</f>
        <v/>
      </c>
      <c r="V110" s="7" t="str" cm="1">
        <f t="array" ref="V110">IF(X110&gt;SUM(C$6:I$6),"",INDEX(B$10:B$29,AA110))&amp;IF(R110="","",";OVT")&amp;IF(S110="","",";Pay OVT Addition")</f>
        <v/>
      </c>
      <c r="W110" s="11" t="str">
        <f t="shared" si="28"/>
        <v/>
      </c>
      <c r="X110" s="7">
        <v>101</v>
      </c>
      <c r="Y110" s="7" t="str">
        <f t="shared" si="29"/>
        <v/>
      </c>
      <c r="Z110" s="7" t="str">
        <f t="shared" si="30"/>
        <v/>
      </c>
      <c r="AA110" s="7" t="str">
        <f t="shared" si="31"/>
        <v/>
      </c>
      <c r="AB110" s="8" t="str" cm="1">
        <f t="array" ref="AB110">IF(X110&gt;SUM(C$6:I$6),"",INDEX(C$10:I$29,AA110,Y110))</f>
        <v/>
      </c>
      <c r="AC110" s="13" t="str">
        <f>IF(X110&gt;SUM(C$6:I$6),"",AND(SUMIF(Y$10:Y110,Y110,AB$10:AB110)-AB110&lt;4,SUMIF(Y$10:Y110,Y110,AB$10:AB110)&gt;=4))</f>
        <v/>
      </c>
      <c r="AD110" s="13" t="str">
        <f t="shared" si="32"/>
        <v/>
      </c>
      <c r="AE110" s="13" t="str">
        <f t="shared" si="33"/>
        <v/>
      </c>
    </row>
    <row r="111" spans="18:31" x14ac:dyDescent="0.25">
      <c r="R111" s="12"/>
      <c r="S111" s="12"/>
      <c r="T111" s="10" t="str" cm="1">
        <f t="array" ref="T111">IF(OR(X111&gt;SUM(C$6:I$6),Y110=Y111),"",INDEX(C$8:I$8,Y111))</f>
        <v/>
      </c>
      <c r="U111" s="11" t="str" cm="1">
        <f t="array" ref="U111">IF(X111&gt;SUM(C$6:I$6),"",IF(Z111=1,INDEX(C$5:I$5,Y111),U110+AB110/24+IF(AC110,0.5/24,0)+IF(AD110,8/(60*24),0)))</f>
        <v/>
      </c>
      <c r="V111" s="7" t="str" cm="1">
        <f t="array" ref="V111">IF(X111&gt;SUM(C$6:I$6),"",INDEX(B$10:B$29,AA111))&amp;IF(R111="","",";OVT")&amp;IF(S111="","",";Pay OVT Addition")</f>
        <v/>
      </c>
      <c r="W111" s="11" t="str">
        <f t="shared" si="28"/>
        <v/>
      </c>
      <c r="X111" s="7">
        <v>102</v>
      </c>
      <c r="Y111" s="7" t="str">
        <f t="shared" si="29"/>
        <v/>
      </c>
      <c r="Z111" s="7" t="str">
        <f t="shared" si="30"/>
        <v/>
      </c>
      <c r="AA111" s="7" t="str">
        <f t="shared" si="31"/>
        <v/>
      </c>
      <c r="AB111" s="8" t="str" cm="1">
        <f t="array" ref="AB111">IF(X111&gt;SUM(C$6:I$6),"",INDEX(C$10:I$29,AA111,Y111))</f>
        <v/>
      </c>
      <c r="AC111" s="13" t="str">
        <f>IF(X111&gt;SUM(C$6:I$6),"",AND(SUMIF(Y$10:Y111,Y111,AB$10:AB111)-AB111&lt;4,SUMIF(Y$10:Y111,Y111,AB$10:AB111)&gt;=4))</f>
        <v/>
      </c>
      <c r="AD111" s="13" t="str">
        <f t="shared" si="32"/>
        <v/>
      </c>
      <c r="AE111" s="13" t="str">
        <f t="shared" si="33"/>
        <v/>
      </c>
    </row>
    <row r="112" spans="18:31" x14ac:dyDescent="0.25">
      <c r="R112" s="12"/>
      <c r="S112" s="12"/>
      <c r="T112" s="10" t="str" cm="1">
        <f t="array" ref="T112">IF(OR(X112&gt;SUM(C$6:I$6),Y111=Y112),"",INDEX(C$8:I$8,Y112))</f>
        <v/>
      </c>
      <c r="U112" s="11" t="str" cm="1">
        <f t="array" ref="U112">IF(X112&gt;SUM(C$6:I$6),"",IF(Z112=1,INDEX(C$5:I$5,Y112),U111+AB111/24+IF(AC111,0.5/24,0)+IF(AD111,8/(60*24),0)))</f>
        <v/>
      </c>
      <c r="V112" s="7" t="str" cm="1">
        <f t="array" ref="V112">IF(X112&gt;SUM(C$6:I$6),"",INDEX(B$10:B$29,AA112))&amp;IF(R112="","",";OVT")&amp;IF(S112="","",";Pay OVT Addition")</f>
        <v/>
      </c>
      <c r="W112" s="11" t="str">
        <f t="shared" si="28"/>
        <v/>
      </c>
      <c r="X112" s="7">
        <v>103</v>
      </c>
      <c r="Y112" s="7" t="str">
        <f t="shared" si="29"/>
        <v/>
      </c>
      <c r="Z112" s="7" t="str">
        <f t="shared" si="30"/>
        <v/>
      </c>
      <c r="AA112" s="7" t="str">
        <f t="shared" si="31"/>
        <v/>
      </c>
      <c r="AB112" s="8" t="str" cm="1">
        <f t="array" ref="AB112">IF(X112&gt;SUM(C$6:I$6),"",INDEX(C$10:I$29,AA112,Y112))</f>
        <v/>
      </c>
      <c r="AC112" s="13" t="str">
        <f>IF(X112&gt;SUM(C$6:I$6),"",AND(SUMIF(Y$10:Y112,Y112,AB$10:AB112)-AB112&lt;4,SUMIF(Y$10:Y112,Y112,AB$10:AB112)&gt;=4))</f>
        <v/>
      </c>
      <c r="AD112" s="13" t="str">
        <f t="shared" si="32"/>
        <v/>
      </c>
      <c r="AE112" s="13" t="str">
        <f t="shared" si="33"/>
        <v/>
      </c>
    </row>
    <row r="113" spans="18:31" x14ac:dyDescent="0.25">
      <c r="R113" s="12"/>
      <c r="S113" s="12"/>
      <c r="T113" s="10" t="str" cm="1">
        <f t="array" ref="T113">IF(OR(X113&gt;SUM(C$6:I$6),Y112=Y113),"",INDEX(C$8:I$8,Y113))</f>
        <v/>
      </c>
      <c r="U113" s="11" t="str" cm="1">
        <f t="array" ref="U113">IF(X113&gt;SUM(C$6:I$6),"",IF(Z113=1,INDEX(C$5:I$5,Y113),U112+AB112/24+IF(AC112,0.5/24,0)+IF(AD112,8/(60*24),0)))</f>
        <v/>
      </c>
      <c r="V113" s="7" t="str" cm="1">
        <f t="array" ref="V113">IF(X113&gt;SUM(C$6:I$6),"",INDEX(B$10:B$29,AA113))&amp;IF(R113="","",";OVT")&amp;IF(S113="","",";Pay OVT Addition")</f>
        <v/>
      </c>
      <c r="W113" s="11" t="str">
        <f t="shared" si="28"/>
        <v/>
      </c>
      <c r="X113" s="7">
        <v>104</v>
      </c>
      <c r="Y113" s="7" t="str">
        <f t="shared" si="29"/>
        <v/>
      </c>
      <c r="Z113" s="7" t="str">
        <f t="shared" si="30"/>
        <v/>
      </c>
      <c r="AA113" s="7" t="str">
        <f t="shared" si="31"/>
        <v/>
      </c>
      <c r="AB113" s="8" t="str" cm="1">
        <f t="array" ref="AB113">IF(X113&gt;SUM(C$6:I$6),"",INDEX(C$10:I$29,AA113,Y113))</f>
        <v/>
      </c>
      <c r="AC113" s="13" t="str">
        <f>IF(X113&gt;SUM(C$6:I$6),"",AND(SUMIF(Y$10:Y113,Y113,AB$10:AB113)-AB113&lt;4,SUMIF(Y$10:Y113,Y113,AB$10:AB113)&gt;=4))</f>
        <v/>
      </c>
      <c r="AD113" s="13" t="str">
        <f t="shared" si="32"/>
        <v/>
      </c>
      <c r="AE113" s="13" t="str">
        <f t="shared" si="33"/>
        <v/>
      </c>
    </row>
    <row r="114" spans="18:31" x14ac:dyDescent="0.25">
      <c r="R114" s="12"/>
      <c r="S114" s="12"/>
      <c r="T114" s="10" t="str" cm="1">
        <f t="array" ref="T114">IF(OR(X114&gt;SUM(C$6:I$6),Y113=Y114),"",INDEX(C$8:I$8,Y114))</f>
        <v/>
      </c>
      <c r="U114" s="11" t="str" cm="1">
        <f t="array" ref="U114">IF(X114&gt;SUM(C$6:I$6),"",IF(Z114=1,INDEX(C$5:I$5,Y114),U113+AB113/24+IF(AC113,0.5/24,0)+IF(AD113,8/(60*24),0)))</f>
        <v/>
      </c>
      <c r="V114" s="7" t="str" cm="1">
        <f t="array" ref="V114">IF(X114&gt;SUM(C$6:I$6),"",INDEX(B$10:B$29,AA114))&amp;IF(R114="","",";OVT")&amp;IF(S114="","",";Pay OVT Addition")</f>
        <v/>
      </c>
      <c r="W114" s="11" t="str">
        <f t="shared" si="28"/>
        <v/>
      </c>
      <c r="X114" s="7">
        <v>105</v>
      </c>
      <c r="Y114" s="7" t="str">
        <f t="shared" si="29"/>
        <v/>
      </c>
      <c r="Z114" s="7" t="str">
        <f t="shared" si="30"/>
        <v/>
      </c>
      <c r="AA114" s="7" t="str">
        <f t="shared" si="31"/>
        <v/>
      </c>
      <c r="AB114" s="8" t="str" cm="1">
        <f t="array" ref="AB114">IF(X114&gt;SUM(C$6:I$6),"",INDEX(C$10:I$29,AA114,Y114))</f>
        <v/>
      </c>
      <c r="AC114" s="13" t="str">
        <f>IF(X114&gt;SUM(C$6:I$6),"",AND(SUMIF(Y$10:Y114,Y114,AB$10:AB114)-AB114&lt;4,SUMIF(Y$10:Y114,Y114,AB$10:AB114)&gt;=4))</f>
        <v/>
      </c>
      <c r="AD114" s="13" t="str">
        <f t="shared" si="32"/>
        <v/>
      </c>
      <c r="AE114" s="13" t="str">
        <f t="shared" si="33"/>
        <v/>
      </c>
    </row>
    <row r="115" spans="18:31" x14ac:dyDescent="0.25">
      <c r="R115" s="12"/>
      <c r="S115" s="12"/>
      <c r="T115" s="10" t="str" cm="1">
        <f t="array" ref="T115">IF(OR(X115&gt;SUM(C$6:I$6),Y114=Y115),"",INDEX(C$8:I$8,Y115))</f>
        <v/>
      </c>
      <c r="U115" s="11" t="str" cm="1">
        <f t="array" ref="U115">IF(X115&gt;SUM(C$6:I$6),"",IF(Z115=1,INDEX(C$5:I$5,Y115),U114+AB114/24+IF(AC114,0.5/24,0)+IF(AD114,8/(60*24),0)))</f>
        <v/>
      </c>
      <c r="V115" s="7" t="str" cm="1">
        <f t="array" ref="V115">IF(X115&gt;SUM(C$6:I$6),"",INDEX(B$10:B$29,AA115))&amp;IF(R115="","",";OVT")&amp;IF(S115="","",";Pay OVT Addition")</f>
        <v/>
      </c>
      <c r="W115" s="11" t="str">
        <f t="shared" si="28"/>
        <v/>
      </c>
      <c r="X115" s="7">
        <v>106</v>
      </c>
      <c r="Y115" s="7" t="str">
        <f t="shared" si="29"/>
        <v/>
      </c>
      <c r="Z115" s="7" t="str">
        <f t="shared" si="30"/>
        <v/>
      </c>
      <c r="AA115" s="7" t="str">
        <f t="shared" si="31"/>
        <v/>
      </c>
      <c r="AB115" s="8" t="str" cm="1">
        <f t="array" ref="AB115">IF(X115&gt;SUM(C$6:I$6),"",INDEX(C$10:I$29,AA115,Y115))</f>
        <v/>
      </c>
      <c r="AC115" s="13" t="str">
        <f>IF(X115&gt;SUM(C$6:I$6),"",AND(SUMIF(Y$10:Y115,Y115,AB$10:AB115)-AB115&lt;4,SUMIF(Y$10:Y115,Y115,AB$10:AB115)&gt;=4))</f>
        <v/>
      </c>
      <c r="AD115" s="13" t="str">
        <f t="shared" si="32"/>
        <v/>
      </c>
      <c r="AE115" s="13" t="str">
        <f t="shared" si="33"/>
        <v/>
      </c>
    </row>
    <row r="116" spans="18:31" x14ac:dyDescent="0.25">
      <c r="R116" s="12"/>
      <c r="S116" s="12"/>
      <c r="T116" s="10" t="str" cm="1">
        <f t="array" ref="T116">IF(OR(X116&gt;SUM(C$6:I$6),Y115=Y116),"",INDEX(C$8:I$8,Y116))</f>
        <v/>
      </c>
      <c r="U116" s="11" t="str" cm="1">
        <f t="array" ref="U116">IF(X116&gt;SUM(C$6:I$6),"",IF(Z116=1,INDEX(C$5:I$5,Y116),U115+AB115/24+IF(AC115,0.5/24,0)+IF(AD115,8/(60*24),0)))</f>
        <v/>
      </c>
      <c r="V116" s="7" t="str" cm="1">
        <f t="array" ref="V116">IF(X116&gt;SUM(C$6:I$6),"",INDEX(B$10:B$29,AA116))&amp;IF(R116="","",";OVT")&amp;IF(S116="","",";Pay OVT Addition")</f>
        <v/>
      </c>
      <c r="W116" s="11" t="str">
        <f t="shared" si="28"/>
        <v/>
      </c>
      <c r="X116" s="7">
        <v>107</v>
      </c>
      <c r="Y116" s="7" t="str">
        <f t="shared" si="29"/>
        <v/>
      </c>
      <c r="Z116" s="7" t="str">
        <f t="shared" si="30"/>
        <v/>
      </c>
      <c r="AA116" s="7" t="str">
        <f t="shared" si="31"/>
        <v/>
      </c>
      <c r="AB116" s="8" t="str" cm="1">
        <f t="array" ref="AB116">IF(X116&gt;SUM(C$6:I$6),"",INDEX(C$10:I$29,AA116,Y116))</f>
        <v/>
      </c>
      <c r="AC116" s="13" t="str">
        <f>IF(X116&gt;SUM(C$6:I$6),"",AND(SUMIF(Y$10:Y116,Y116,AB$10:AB116)-AB116&lt;4,SUMIF(Y$10:Y116,Y116,AB$10:AB116)&gt;=4))</f>
        <v/>
      </c>
      <c r="AD116" s="13" t="str">
        <f t="shared" si="32"/>
        <v/>
      </c>
      <c r="AE116" s="13" t="str">
        <f t="shared" si="33"/>
        <v/>
      </c>
    </row>
    <row r="117" spans="18:31" x14ac:dyDescent="0.25">
      <c r="R117" s="12"/>
      <c r="S117" s="12"/>
      <c r="T117" s="10" t="str" cm="1">
        <f t="array" ref="T117">IF(OR(X117&gt;SUM(C$6:I$6),Y116=Y117),"",INDEX(C$8:I$8,Y117))</f>
        <v/>
      </c>
      <c r="U117" s="11" t="str" cm="1">
        <f t="array" ref="U117">IF(X117&gt;SUM(C$6:I$6),"",IF(Z117=1,INDEX(C$5:I$5,Y117),U116+AB116/24+IF(AC116,0.5/24,0)+IF(AD116,8/(60*24),0)))</f>
        <v/>
      </c>
      <c r="V117" s="7" t="str" cm="1">
        <f t="array" ref="V117">IF(X117&gt;SUM(C$6:I$6),"",INDEX(B$10:B$29,AA117))&amp;IF(R117="","",";OVT")&amp;IF(S117="","",";Pay OVT Addition")</f>
        <v/>
      </c>
      <c r="W117" s="11" t="str">
        <f t="shared" si="28"/>
        <v/>
      </c>
      <c r="X117" s="7">
        <v>108</v>
      </c>
      <c r="Y117" s="7" t="str">
        <f t="shared" si="29"/>
        <v/>
      </c>
      <c r="Z117" s="7" t="str">
        <f t="shared" si="30"/>
        <v/>
      </c>
      <c r="AA117" s="7" t="str">
        <f t="shared" si="31"/>
        <v/>
      </c>
      <c r="AB117" s="8" t="str" cm="1">
        <f t="array" ref="AB117">IF(X117&gt;SUM(C$6:I$6),"",INDEX(C$10:I$29,AA117,Y117))</f>
        <v/>
      </c>
      <c r="AC117" s="13" t="str">
        <f>IF(X117&gt;SUM(C$6:I$6),"",AND(SUMIF(Y$10:Y117,Y117,AB$10:AB117)-AB117&lt;4,SUMIF(Y$10:Y117,Y117,AB$10:AB117)&gt;=4))</f>
        <v/>
      </c>
      <c r="AD117" s="13" t="str">
        <f t="shared" si="32"/>
        <v/>
      </c>
      <c r="AE117" s="13" t="str">
        <f t="shared" si="33"/>
        <v/>
      </c>
    </row>
    <row r="118" spans="18:31" x14ac:dyDescent="0.25">
      <c r="R118" s="12"/>
      <c r="S118" s="12"/>
      <c r="T118" s="10" t="str" cm="1">
        <f t="array" ref="T118">IF(OR(X118&gt;SUM(C$6:I$6),Y117=Y118),"",INDEX(C$8:I$8,Y118))</f>
        <v/>
      </c>
      <c r="U118" s="11" t="str" cm="1">
        <f t="array" ref="U118">IF(X118&gt;SUM(C$6:I$6),"",IF(Z118=1,INDEX(C$5:I$5,Y118),U117+AB117/24+IF(AC117,0.5/24,0)+IF(AD117,8/(60*24),0)))</f>
        <v/>
      </c>
      <c r="V118" s="7" t="str" cm="1">
        <f t="array" ref="V118">IF(X118&gt;SUM(C$6:I$6),"",INDEX(B$10:B$29,AA118))&amp;IF(R118="","",";OVT")&amp;IF(S118="","",";Pay OVT Addition")</f>
        <v/>
      </c>
      <c r="W118" s="11" t="str">
        <f t="shared" si="28"/>
        <v/>
      </c>
      <c r="X118" s="7">
        <v>109</v>
      </c>
      <c r="Y118" s="7" t="str">
        <f t="shared" si="29"/>
        <v/>
      </c>
      <c r="Z118" s="7" t="str">
        <f t="shared" si="30"/>
        <v/>
      </c>
      <c r="AA118" s="7" t="str">
        <f t="shared" si="31"/>
        <v/>
      </c>
      <c r="AB118" s="8" t="str" cm="1">
        <f t="array" ref="AB118">IF(X118&gt;SUM(C$6:I$6),"",INDEX(C$10:I$29,AA118,Y118))</f>
        <v/>
      </c>
      <c r="AC118" s="13" t="str">
        <f>IF(X118&gt;SUM(C$6:I$6),"",AND(SUMIF(Y$10:Y118,Y118,AB$10:AB118)-AB118&lt;4,SUMIF(Y$10:Y118,Y118,AB$10:AB118)&gt;=4))</f>
        <v/>
      </c>
      <c r="AD118" s="13" t="str">
        <f t="shared" si="32"/>
        <v/>
      </c>
      <c r="AE118" s="13" t="str">
        <f t="shared" si="33"/>
        <v/>
      </c>
    </row>
    <row r="119" spans="18:31" x14ac:dyDescent="0.25">
      <c r="R119" s="12"/>
      <c r="S119" s="12"/>
      <c r="T119" s="10" t="str" cm="1">
        <f t="array" ref="T119">IF(OR(X119&gt;SUM(C$6:I$6),Y118=Y119),"",INDEX(C$8:I$8,Y119))</f>
        <v/>
      </c>
      <c r="U119" s="11" t="str" cm="1">
        <f t="array" ref="U119">IF(X119&gt;SUM(C$6:I$6),"",IF(Z119=1,INDEX(C$5:I$5,Y119),U118+AB118/24+IF(AC118,0.5/24,0)+IF(AD118,8/(60*24),0)))</f>
        <v/>
      </c>
      <c r="V119" s="7" t="str" cm="1">
        <f t="array" ref="V119">IF(X119&gt;SUM(C$6:I$6),"",INDEX(B$10:B$29,AA119))&amp;IF(R119="","",";OVT")&amp;IF(S119="","",";Pay OVT Addition")</f>
        <v/>
      </c>
      <c r="W119" s="11" t="str">
        <f t="shared" si="28"/>
        <v/>
      </c>
      <c r="X119" s="7">
        <v>110</v>
      </c>
      <c r="Y119" s="7" t="str">
        <f t="shared" si="29"/>
        <v/>
      </c>
      <c r="Z119" s="7" t="str">
        <f t="shared" si="30"/>
        <v/>
      </c>
      <c r="AA119" s="7" t="str">
        <f t="shared" si="31"/>
        <v/>
      </c>
      <c r="AB119" s="8" t="str" cm="1">
        <f t="array" ref="AB119">IF(X119&gt;SUM(C$6:I$6),"",INDEX(C$10:I$29,AA119,Y119))</f>
        <v/>
      </c>
      <c r="AC119" s="13" t="str">
        <f>IF(X119&gt;SUM(C$6:I$6),"",AND(SUMIF(Y$10:Y119,Y119,AB$10:AB119)-AB119&lt;4,SUMIF(Y$10:Y119,Y119,AB$10:AB119)&gt;=4))</f>
        <v/>
      </c>
      <c r="AD119" s="13" t="str">
        <f t="shared" si="32"/>
        <v/>
      </c>
      <c r="AE119" s="13" t="str">
        <f t="shared" si="33"/>
        <v/>
      </c>
    </row>
    <row r="120" spans="18:31" x14ac:dyDescent="0.25">
      <c r="R120" s="12"/>
      <c r="S120" s="12"/>
      <c r="T120" s="10" t="str" cm="1">
        <f t="array" ref="T120">IF(OR(X120&gt;SUM(C$6:I$6),Y119=Y120),"",INDEX(C$8:I$8,Y120))</f>
        <v/>
      </c>
      <c r="U120" s="11" t="str" cm="1">
        <f t="array" ref="U120">IF(X120&gt;SUM(C$6:I$6),"",IF(Z120=1,INDEX(C$5:I$5,Y120),U119+AB119/24+IF(AC119,0.5/24,0)+IF(AD119,8/(60*24),0)))</f>
        <v/>
      </c>
      <c r="V120" s="7" t="str" cm="1">
        <f t="array" ref="V120">IF(X120&gt;SUM(C$6:I$6),"",INDEX(B$10:B$29,AA120))&amp;IF(R120="","",";OVT")&amp;IF(S120="","",";Pay OVT Addition")</f>
        <v/>
      </c>
      <c r="W120" s="11" t="str">
        <f t="shared" si="28"/>
        <v/>
      </c>
      <c r="X120" s="7">
        <v>111</v>
      </c>
      <c r="Y120" s="7" t="str">
        <f t="shared" si="29"/>
        <v/>
      </c>
      <c r="Z120" s="7" t="str">
        <f t="shared" si="30"/>
        <v/>
      </c>
      <c r="AA120" s="7" t="str">
        <f t="shared" si="31"/>
        <v/>
      </c>
      <c r="AB120" s="8" t="str" cm="1">
        <f t="array" ref="AB120">IF(X120&gt;SUM(C$6:I$6),"",INDEX(C$10:I$29,AA120,Y120))</f>
        <v/>
      </c>
      <c r="AC120" s="13" t="str">
        <f>IF(X120&gt;SUM(C$6:I$6),"",AND(SUMIF(Y$10:Y120,Y120,AB$10:AB120)-AB120&lt;4,SUMIF(Y$10:Y120,Y120,AB$10:AB120)&gt;=4))</f>
        <v/>
      </c>
      <c r="AD120" s="13" t="str">
        <f t="shared" si="32"/>
        <v/>
      </c>
      <c r="AE120" s="13" t="str">
        <f t="shared" si="33"/>
        <v/>
      </c>
    </row>
    <row r="121" spans="18:31" x14ac:dyDescent="0.25">
      <c r="R121" s="12"/>
      <c r="S121" s="12"/>
      <c r="T121" s="10" t="str" cm="1">
        <f t="array" ref="T121">IF(OR(X121&gt;SUM(C$6:I$6),Y120=Y121),"",INDEX(C$8:I$8,Y121))</f>
        <v/>
      </c>
      <c r="U121" s="11" t="str" cm="1">
        <f t="array" ref="U121">IF(X121&gt;SUM(C$6:I$6),"",IF(Z121=1,INDEX(C$5:I$5,Y121),U120+AB120/24+IF(AC120,0.5/24,0)+IF(AD120,8/(60*24),0)))</f>
        <v/>
      </c>
      <c r="V121" s="7" t="str" cm="1">
        <f t="array" ref="V121">IF(X121&gt;SUM(C$6:I$6),"",INDEX(B$10:B$29,AA121))&amp;IF(R121="","",";OVT")&amp;IF(S121="","",";Pay OVT Addition")</f>
        <v/>
      </c>
      <c r="W121" s="11" t="str">
        <f t="shared" si="28"/>
        <v/>
      </c>
      <c r="X121" s="7">
        <v>112</v>
      </c>
      <c r="Y121" s="7" t="str">
        <f t="shared" si="29"/>
        <v/>
      </c>
      <c r="Z121" s="7" t="str">
        <f t="shared" si="30"/>
        <v/>
      </c>
      <c r="AA121" s="7" t="str">
        <f t="shared" si="31"/>
        <v/>
      </c>
      <c r="AB121" s="8" t="str" cm="1">
        <f t="array" ref="AB121">IF(X121&gt;SUM(C$6:I$6),"",INDEX(C$10:I$29,AA121,Y121))</f>
        <v/>
      </c>
      <c r="AC121" s="13" t="str">
        <f>IF(X121&gt;SUM(C$6:I$6),"",AND(SUMIF(Y$10:Y121,Y121,AB$10:AB121)-AB121&lt;4,SUMIF(Y$10:Y121,Y121,AB$10:AB121)&gt;=4))</f>
        <v/>
      </c>
      <c r="AD121" s="13" t="str">
        <f t="shared" si="32"/>
        <v/>
      </c>
      <c r="AE121" s="13" t="str">
        <f t="shared" si="33"/>
        <v/>
      </c>
    </row>
    <row r="122" spans="18:31" x14ac:dyDescent="0.25">
      <c r="R122" s="12"/>
      <c r="S122" s="12"/>
      <c r="T122" s="10" t="str" cm="1">
        <f t="array" ref="T122">IF(OR(X122&gt;SUM(C$6:I$6),Y121=Y122),"",INDEX(C$8:I$8,Y122))</f>
        <v/>
      </c>
      <c r="U122" s="11" t="str" cm="1">
        <f t="array" ref="U122">IF(X122&gt;SUM(C$6:I$6),"",IF(Z122=1,INDEX(C$5:I$5,Y122),U121+AB121/24+IF(AC121,0.5/24,0)+IF(AD121,8/(60*24),0)))</f>
        <v/>
      </c>
      <c r="V122" s="7" t="str" cm="1">
        <f t="array" ref="V122">IF(X122&gt;SUM(C$6:I$6),"",INDEX(B$10:B$29,AA122))&amp;IF(R122="","",";OVT")&amp;IF(S122="","",";Pay OVT Addition")</f>
        <v/>
      </c>
      <c r="W122" s="11" t="str">
        <f t="shared" si="28"/>
        <v/>
      </c>
      <c r="X122" s="7">
        <v>113</v>
      </c>
      <c r="Y122" s="7" t="str">
        <f t="shared" si="29"/>
        <v/>
      </c>
      <c r="Z122" s="7" t="str">
        <f t="shared" si="30"/>
        <v/>
      </c>
      <c r="AA122" s="7" t="str">
        <f t="shared" si="31"/>
        <v/>
      </c>
      <c r="AB122" s="8" t="str" cm="1">
        <f t="array" ref="AB122">IF(X122&gt;SUM(C$6:I$6),"",INDEX(C$10:I$29,AA122,Y122))</f>
        <v/>
      </c>
      <c r="AC122" s="13" t="str">
        <f>IF(X122&gt;SUM(C$6:I$6),"",AND(SUMIF(Y$10:Y122,Y122,AB$10:AB122)-AB122&lt;4,SUMIF(Y$10:Y122,Y122,AB$10:AB122)&gt;=4))</f>
        <v/>
      </c>
      <c r="AD122" s="13" t="str">
        <f t="shared" si="32"/>
        <v/>
      </c>
      <c r="AE122" s="13" t="str">
        <f t="shared" si="33"/>
        <v/>
      </c>
    </row>
    <row r="123" spans="18:31" x14ac:dyDescent="0.25">
      <c r="R123" s="12"/>
      <c r="S123" s="12"/>
      <c r="T123" s="10" t="str" cm="1">
        <f t="array" ref="T123">IF(OR(X123&gt;SUM(C$6:I$6),Y122=Y123),"",INDEX(C$8:I$8,Y123))</f>
        <v/>
      </c>
      <c r="U123" s="11" t="str" cm="1">
        <f t="array" ref="U123">IF(X123&gt;SUM(C$6:I$6),"",IF(Z123=1,INDEX(C$5:I$5,Y123),U122+AB122/24+IF(AC122,0.5/24,0)+IF(AD122,8/(60*24),0)))</f>
        <v/>
      </c>
      <c r="V123" s="7" t="str" cm="1">
        <f t="array" ref="V123">IF(X123&gt;SUM(C$6:I$6),"",INDEX(B$10:B$29,AA123))&amp;IF(R123="","",";OVT")&amp;IF(S123="","",";Pay OVT Addition")</f>
        <v/>
      </c>
      <c r="W123" s="11" t="str">
        <f t="shared" si="28"/>
        <v/>
      </c>
      <c r="X123" s="7">
        <v>114</v>
      </c>
      <c r="Y123" s="7" t="str">
        <f t="shared" si="29"/>
        <v/>
      </c>
      <c r="Z123" s="7" t="str">
        <f t="shared" si="30"/>
        <v/>
      </c>
      <c r="AA123" s="7" t="str">
        <f t="shared" si="31"/>
        <v/>
      </c>
      <c r="AB123" s="8" t="str" cm="1">
        <f t="array" ref="AB123">IF(X123&gt;SUM(C$6:I$6),"",INDEX(C$10:I$29,AA123,Y123))</f>
        <v/>
      </c>
      <c r="AC123" s="13" t="str">
        <f>IF(X123&gt;SUM(C$6:I$6),"",AND(SUMIF(Y$10:Y123,Y123,AB$10:AB123)-AB123&lt;4,SUMIF(Y$10:Y123,Y123,AB$10:AB123)&gt;=4))</f>
        <v/>
      </c>
      <c r="AD123" s="13" t="str">
        <f t="shared" si="32"/>
        <v/>
      </c>
      <c r="AE123" s="13" t="str">
        <f t="shared" si="33"/>
        <v/>
      </c>
    </row>
    <row r="124" spans="18:31" x14ac:dyDescent="0.25">
      <c r="R124" s="12"/>
      <c r="S124" s="12"/>
      <c r="T124" s="10" t="str" cm="1">
        <f t="array" ref="T124">IF(OR(X124&gt;SUM(C$6:I$6),Y123=Y124),"",INDEX(C$8:I$8,Y124))</f>
        <v/>
      </c>
      <c r="U124" s="11" t="str" cm="1">
        <f t="array" ref="U124">IF(X124&gt;SUM(C$6:I$6),"",IF(Z124=1,INDEX(C$5:I$5,Y124),U123+AB123/24+IF(AC123,0.5/24,0)+IF(AD123,8/(60*24),0)))</f>
        <v/>
      </c>
      <c r="V124" s="7" t="str" cm="1">
        <f t="array" ref="V124">IF(X124&gt;SUM(C$6:I$6),"",INDEX(B$10:B$29,AA124))&amp;IF(R124="","",";OVT")&amp;IF(S124="","",";Pay OVT Addition")</f>
        <v/>
      </c>
      <c r="W124" s="11" t="str">
        <f t="shared" si="28"/>
        <v/>
      </c>
      <c r="X124" s="7">
        <v>115</v>
      </c>
      <c r="Y124" s="7" t="str">
        <f t="shared" si="29"/>
        <v/>
      </c>
      <c r="Z124" s="7" t="str">
        <f t="shared" si="30"/>
        <v/>
      </c>
      <c r="AA124" s="7" t="str">
        <f t="shared" si="31"/>
        <v/>
      </c>
      <c r="AB124" s="8" t="str" cm="1">
        <f t="array" ref="AB124">IF(X124&gt;SUM(C$6:I$6),"",INDEX(C$10:I$29,AA124,Y124))</f>
        <v/>
      </c>
      <c r="AC124" s="13" t="str">
        <f>IF(X124&gt;SUM(C$6:I$6),"",AND(SUMIF(Y$10:Y124,Y124,AB$10:AB124)-AB124&lt;4,SUMIF(Y$10:Y124,Y124,AB$10:AB124)&gt;=4))</f>
        <v/>
      </c>
      <c r="AD124" s="13" t="str">
        <f t="shared" si="32"/>
        <v/>
      </c>
      <c r="AE124" s="13" t="str">
        <f t="shared" si="33"/>
        <v/>
      </c>
    </row>
    <row r="125" spans="18:31" x14ac:dyDescent="0.25">
      <c r="R125" s="12"/>
      <c r="S125" s="12"/>
      <c r="T125" s="10" t="str" cm="1">
        <f t="array" ref="T125">IF(OR(X125&gt;SUM(C$6:I$6),Y124=Y125),"",INDEX(C$8:I$8,Y125))</f>
        <v/>
      </c>
      <c r="U125" s="11" t="str" cm="1">
        <f t="array" ref="U125">IF(X125&gt;SUM(C$6:I$6),"",IF(Z125=1,INDEX(C$5:I$5,Y125),U124+AB124/24+IF(AC124,0.5/24,0)+IF(AD124,8/(60*24),0)))</f>
        <v/>
      </c>
      <c r="V125" s="7" t="str" cm="1">
        <f t="array" ref="V125">IF(X125&gt;SUM(C$6:I$6),"",INDEX(B$10:B$29,AA125))&amp;IF(R125="","",";OVT")&amp;IF(S125="","",";Pay OVT Addition")</f>
        <v/>
      </c>
      <c r="W125" s="11" t="str">
        <f t="shared" si="28"/>
        <v/>
      </c>
      <c r="X125" s="7">
        <v>116</v>
      </c>
      <c r="Y125" s="7" t="str">
        <f t="shared" si="29"/>
        <v/>
      </c>
      <c r="Z125" s="7" t="str">
        <f t="shared" si="30"/>
        <v/>
      </c>
      <c r="AA125" s="7" t="str">
        <f t="shared" si="31"/>
        <v/>
      </c>
      <c r="AB125" s="8" t="str" cm="1">
        <f t="array" ref="AB125">IF(X125&gt;SUM(C$6:I$6),"",INDEX(C$10:I$29,AA125,Y125))</f>
        <v/>
      </c>
      <c r="AC125" s="13" t="str">
        <f>IF(X125&gt;SUM(C$6:I$6),"",AND(SUMIF(Y$10:Y125,Y125,AB$10:AB125)-AB125&lt;4,SUMIF(Y$10:Y125,Y125,AB$10:AB125)&gt;=4))</f>
        <v/>
      </c>
      <c r="AD125" s="13" t="str">
        <f t="shared" si="32"/>
        <v/>
      </c>
      <c r="AE125" s="13" t="str">
        <f t="shared" si="33"/>
        <v/>
      </c>
    </row>
    <row r="126" spans="18:31" x14ac:dyDescent="0.25">
      <c r="R126" s="12"/>
      <c r="S126" s="12"/>
      <c r="T126" s="10" t="str" cm="1">
        <f t="array" ref="T126">IF(OR(X126&gt;SUM(C$6:I$6),Y125=Y126),"",INDEX(C$8:I$8,Y126))</f>
        <v/>
      </c>
      <c r="U126" s="11" t="str" cm="1">
        <f t="array" ref="U126">IF(X126&gt;SUM(C$6:I$6),"",IF(Z126=1,INDEX(C$5:I$5,Y126),U125+AB125/24+IF(AC125,0.5/24,0)+IF(AD125,8/(60*24),0)))</f>
        <v/>
      </c>
      <c r="V126" s="7" t="str" cm="1">
        <f t="array" ref="V126">IF(X126&gt;SUM(C$6:I$6),"",INDEX(B$10:B$29,AA126))&amp;IF(R126="","",";OVT")&amp;IF(S126="","",";Pay OVT Addition")</f>
        <v/>
      </c>
      <c r="W126" s="11" t="str">
        <f t="shared" si="28"/>
        <v/>
      </c>
      <c r="X126" s="7">
        <v>117</v>
      </c>
      <c r="Y126" s="7" t="str">
        <f t="shared" si="29"/>
        <v/>
      </c>
      <c r="Z126" s="7" t="str">
        <f t="shared" si="30"/>
        <v/>
      </c>
      <c r="AA126" s="7" t="str">
        <f t="shared" si="31"/>
        <v/>
      </c>
      <c r="AB126" s="8" t="str" cm="1">
        <f t="array" ref="AB126">IF(X126&gt;SUM(C$6:I$6),"",INDEX(C$10:I$29,AA126,Y126))</f>
        <v/>
      </c>
      <c r="AC126" s="13" t="str">
        <f>IF(X126&gt;SUM(C$6:I$6),"",AND(SUMIF(Y$10:Y126,Y126,AB$10:AB126)-AB126&lt;4,SUMIF(Y$10:Y126,Y126,AB$10:AB126)&gt;=4))</f>
        <v/>
      </c>
      <c r="AD126" s="13" t="str">
        <f t="shared" si="32"/>
        <v/>
      </c>
      <c r="AE126" s="13" t="str">
        <f t="shared" si="33"/>
        <v/>
      </c>
    </row>
    <row r="127" spans="18:31" x14ac:dyDescent="0.25">
      <c r="R127" s="12"/>
      <c r="S127" s="12"/>
      <c r="T127" s="10" t="str" cm="1">
        <f t="array" ref="T127">IF(OR(X127&gt;SUM(C$6:I$6),Y126=Y127),"",INDEX(C$8:I$8,Y127))</f>
        <v/>
      </c>
      <c r="U127" s="11" t="str" cm="1">
        <f t="array" ref="U127">IF(X127&gt;SUM(C$6:I$6),"",IF(Z127=1,INDEX(C$5:I$5,Y127),U126+AB126/24+IF(AC126,0.5/24,0)+IF(AD126,8/(60*24),0)))</f>
        <v/>
      </c>
      <c r="V127" s="7" t="str" cm="1">
        <f t="array" ref="V127">IF(X127&gt;SUM(C$6:I$6),"",INDEX(B$10:B$29,AA127))&amp;IF(R127="","",";OVT")&amp;IF(S127="","",";Pay OVT Addition")</f>
        <v/>
      </c>
      <c r="W127" s="11" t="str">
        <f t="shared" si="28"/>
        <v/>
      </c>
      <c r="X127" s="7">
        <v>118</v>
      </c>
      <c r="Y127" s="7" t="str">
        <f t="shared" si="29"/>
        <v/>
      </c>
      <c r="Z127" s="7" t="str">
        <f t="shared" si="30"/>
        <v/>
      </c>
      <c r="AA127" s="7" t="str">
        <f t="shared" si="31"/>
        <v/>
      </c>
      <c r="AB127" s="8" t="str" cm="1">
        <f t="array" ref="AB127">IF(X127&gt;SUM(C$6:I$6),"",INDEX(C$10:I$29,AA127,Y127))</f>
        <v/>
      </c>
      <c r="AC127" s="13" t="str">
        <f>IF(X127&gt;SUM(C$6:I$6),"",AND(SUMIF(Y$10:Y127,Y127,AB$10:AB127)-AB127&lt;4,SUMIF(Y$10:Y127,Y127,AB$10:AB127)&gt;=4))</f>
        <v/>
      </c>
      <c r="AD127" s="13" t="str">
        <f t="shared" si="32"/>
        <v/>
      </c>
      <c r="AE127" s="13" t="str">
        <f t="shared" si="33"/>
        <v/>
      </c>
    </row>
    <row r="128" spans="18:31" x14ac:dyDescent="0.25">
      <c r="R128" s="12"/>
      <c r="S128" s="12"/>
      <c r="T128" s="10" t="str" cm="1">
        <f t="array" ref="T128">IF(OR(X128&gt;SUM(C$6:I$6),Y127=Y128),"",INDEX(C$8:I$8,Y128))</f>
        <v/>
      </c>
      <c r="U128" s="11" t="str" cm="1">
        <f t="array" ref="U128">IF(X128&gt;SUM(C$6:I$6),"",IF(Z128=1,INDEX(C$5:I$5,Y128),U127+AB127/24+IF(AC127,0.5/24,0)+IF(AD127,8/(60*24),0)))</f>
        <v/>
      </c>
      <c r="V128" s="7" t="str" cm="1">
        <f t="array" ref="V128">IF(X128&gt;SUM(C$6:I$6),"",INDEX(B$10:B$29,AA128))&amp;IF(R128="","",";OVT")&amp;IF(S128="","",";Pay OVT Addition")</f>
        <v/>
      </c>
      <c r="W128" s="11" t="str">
        <f t="shared" si="28"/>
        <v/>
      </c>
      <c r="X128" s="7">
        <v>119</v>
      </c>
      <c r="Y128" s="7" t="str">
        <f t="shared" si="29"/>
        <v/>
      </c>
      <c r="Z128" s="7" t="str">
        <f t="shared" si="30"/>
        <v/>
      </c>
      <c r="AA128" s="7" t="str">
        <f t="shared" si="31"/>
        <v/>
      </c>
      <c r="AB128" s="8" t="str" cm="1">
        <f t="array" ref="AB128">IF(X128&gt;SUM(C$6:I$6),"",INDEX(C$10:I$29,AA128,Y128))</f>
        <v/>
      </c>
      <c r="AC128" s="13" t="str">
        <f>IF(X128&gt;SUM(C$6:I$6),"",AND(SUMIF(Y$10:Y128,Y128,AB$10:AB128)-AB128&lt;4,SUMIF(Y$10:Y128,Y128,AB$10:AB128)&gt;=4))</f>
        <v/>
      </c>
      <c r="AD128" s="13" t="str">
        <f t="shared" si="32"/>
        <v/>
      </c>
      <c r="AE128" s="13" t="str">
        <f t="shared" si="33"/>
        <v/>
      </c>
    </row>
    <row r="129" spans="18:31" x14ac:dyDescent="0.25">
      <c r="R129" s="12"/>
      <c r="S129" s="12"/>
      <c r="T129" s="10" t="str" cm="1">
        <f t="array" ref="T129">IF(OR(X129&gt;SUM(C$6:I$6),Y128=Y129),"",INDEX(C$8:I$8,Y129))</f>
        <v/>
      </c>
      <c r="U129" s="11" t="str" cm="1">
        <f t="array" ref="U129">IF(X129&gt;SUM(C$6:I$6),"",IF(Z129=1,INDEX(C$5:I$5,Y129),U128+AB128/24+IF(AC128,0.5/24,0)+IF(AD128,8/(60*24),0)))</f>
        <v/>
      </c>
      <c r="V129" s="7" t="str" cm="1">
        <f t="array" ref="V129">IF(X129&gt;SUM(C$6:I$6),"",INDEX(B$10:B$29,AA129))&amp;IF(R129="","",";OVT")&amp;IF(S129="","",";Pay OVT Addition")</f>
        <v/>
      </c>
      <c r="W129" s="11" t="str">
        <f t="shared" si="28"/>
        <v/>
      </c>
      <c r="X129" s="7">
        <v>120</v>
      </c>
      <c r="Y129" s="7" t="str">
        <f t="shared" si="29"/>
        <v/>
      </c>
      <c r="Z129" s="7" t="str">
        <f t="shared" si="30"/>
        <v/>
      </c>
      <c r="AA129" s="7" t="str">
        <f t="shared" si="31"/>
        <v/>
      </c>
      <c r="AB129" s="8" t="str" cm="1">
        <f t="array" ref="AB129">IF(X129&gt;SUM(C$6:I$6),"",INDEX(C$10:I$29,AA129,Y129))</f>
        <v/>
      </c>
      <c r="AC129" s="13" t="str">
        <f>IF(X129&gt;SUM(C$6:I$6),"",AND(SUMIF(Y$10:Y129,Y129,AB$10:AB129)-AB129&lt;4,SUMIF(Y$10:Y129,Y129,AB$10:AB129)&gt;=4))</f>
        <v/>
      </c>
      <c r="AD129" s="13" t="str">
        <f t="shared" si="32"/>
        <v/>
      </c>
      <c r="AE129" s="13" t="str">
        <f t="shared" si="33"/>
        <v/>
      </c>
    </row>
    <row r="130" spans="18:31" x14ac:dyDescent="0.25">
      <c r="R130" s="12"/>
      <c r="S130" s="12"/>
      <c r="T130" s="10" t="str" cm="1">
        <f t="array" ref="T130">IF(OR(X130&gt;SUM(C$6:I$6),Y129=Y130),"",INDEX(C$8:I$8,Y130))</f>
        <v/>
      </c>
      <c r="U130" s="11" t="str" cm="1">
        <f t="array" ref="U130">IF(X130&gt;SUM(C$6:I$6),"",IF(Z130=1,INDEX(C$5:I$5,Y130),U129+AB129/24+IF(AC129,0.5/24,0)+IF(AD129,8/(60*24),0)))</f>
        <v/>
      </c>
      <c r="V130" s="7" t="str" cm="1">
        <f t="array" ref="V130">IF(X130&gt;SUM(C$6:I$6),"",INDEX(B$10:B$29,AA130))&amp;IF(R130="","",";OVT")&amp;IF(S130="","",";Pay OVT Addition")</f>
        <v/>
      </c>
      <c r="W130" s="11" t="str">
        <f t="shared" si="28"/>
        <v/>
      </c>
      <c r="X130" s="7">
        <v>121</v>
      </c>
      <c r="Y130" s="7" t="str">
        <f t="shared" si="29"/>
        <v/>
      </c>
      <c r="Z130" s="7" t="str">
        <f t="shared" si="30"/>
        <v/>
      </c>
      <c r="AA130" s="7" t="str">
        <f t="shared" si="31"/>
        <v/>
      </c>
      <c r="AB130" s="8" t="str" cm="1">
        <f t="array" ref="AB130">IF(X130&gt;SUM(C$6:I$6),"",INDEX(C$10:I$29,AA130,Y130))</f>
        <v/>
      </c>
      <c r="AC130" s="13" t="str">
        <f>IF(X130&gt;SUM(C$6:I$6),"",AND(SUMIF(Y$10:Y130,Y130,AB$10:AB130)-AB130&lt;4,SUMIF(Y$10:Y130,Y130,AB$10:AB130)&gt;=4))</f>
        <v/>
      </c>
      <c r="AD130" s="13" t="str">
        <f t="shared" si="32"/>
        <v/>
      </c>
      <c r="AE130" s="13" t="str">
        <f t="shared" si="33"/>
        <v/>
      </c>
    </row>
    <row r="131" spans="18:31" x14ac:dyDescent="0.25">
      <c r="R131" s="12"/>
      <c r="S131" s="12"/>
      <c r="T131" s="10" t="str" cm="1">
        <f t="array" ref="T131">IF(OR(X131&gt;SUM(C$6:I$6),Y130=Y131),"",INDEX(C$8:I$8,Y131))</f>
        <v/>
      </c>
      <c r="U131" s="11" t="str" cm="1">
        <f t="array" ref="U131">IF(X131&gt;SUM(C$6:I$6),"",IF(Z131=1,INDEX(C$5:I$5,Y131),U130+AB130/24+IF(AC130,0.5/24,0)+IF(AD130,8/(60*24),0)))</f>
        <v/>
      </c>
      <c r="V131" s="7" t="str" cm="1">
        <f t="array" ref="V131">IF(X131&gt;SUM(C$6:I$6),"",INDEX(B$10:B$29,AA131))&amp;IF(R131="","",";OVT")&amp;IF(S131="","",";Pay OVT Addition")</f>
        <v/>
      </c>
      <c r="W131" s="11" t="str">
        <f t="shared" si="28"/>
        <v/>
      </c>
      <c r="X131" s="7">
        <v>122</v>
      </c>
      <c r="Y131" s="7" t="str">
        <f t="shared" si="29"/>
        <v/>
      </c>
      <c r="Z131" s="7" t="str">
        <f t="shared" si="30"/>
        <v/>
      </c>
      <c r="AA131" s="7" t="str">
        <f t="shared" si="31"/>
        <v/>
      </c>
      <c r="AB131" s="8" t="str" cm="1">
        <f t="array" ref="AB131">IF(X131&gt;SUM(C$6:I$6),"",INDEX(C$10:I$29,AA131,Y131))</f>
        <v/>
      </c>
      <c r="AC131" s="13" t="str">
        <f>IF(X131&gt;SUM(C$6:I$6),"",AND(SUMIF(Y$10:Y131,Y131,AB$10:AB131)-AB131&lt;4,SUMIF(Y$10:Y131,Y131,AB$10:AB131)&gt;=4))</f>
        <v/>
      </c>
      <c r="AD131" s="13" t="str">
        <f t="shared" si="32"/>
        <v/>
      </c>
      <c r="AE131" s="13" t="str">
        <f t="shared" si="33"/>
        <v/>
      </c>
    </row>
    <row r="132" spans="18:31" x14ac:dyDescent="0.25">
      <c r="R132" s="12"/>
      <c r="S132" s="12"/>
      <c r="T132" s="10" t="str" cm="1">
        <f t="array" ref="T132">IF(OR(X132&gt;SUM(C$6:I$6),Y131=Y132),"",INDEX(C$8:I$8,Y132))</f>
        <v/>
      </c>
      <c r="U132" s="11" t="str" cm="1">
        <f t="array" ref="U132">IF(X132&gt;SUM(C$6:I$6),"",IF(Z132=1,INDEX(C$5:I$5,Y132),U131+AB131/24+IF(AC131,0.5/24,0)+IF(AD131,8/(60*24),0)))</f>
        <v/>
      </c>
      <c r="V132" s="7" t="str" cm="1">
        <f t="array" ref="V132">IF(X132&gt;SUM(C$6:I$6),"",INDEX(B$10:B$29,AA132))&amp;IF(R132="","",";OVT")&amp;IF(S132="","",";Pay OVT Addition")</f>
        <v/>
      </c>
      <c r="W132" s="11" t="str">
        <f t="shared" si="28"/>
        <v/>
      </c>
      <c r="X132" s="7">
        <v>123</v>
      </c>
      <c r="Y132" s="7" t="str">
        <f t="shared" si="29"/>
        <v/>
      </c>
      <c r="Z132" s="7" t="str">
        <f t="shared" si="30"/>
        <v/>
      </c>
      <c r="AA132" s="7" t="str">
        <f t="shared" si="31"/>
        <v/>
      </c>
      <c r="AB132" s="8" t="str" cm="1">
        <f t="array" ref="AB132">IF(X132&gt;SUM(C$6:I$6),"",INDEX(C$10:I$29,AA132,Y132))</f>
        <v/>
      </c>
      <c r="AC132" s="13" t="str">
        <f>IF(X132&gt;SUM(C$6:I$6),"",AND(SUMIF(Y$10:Y132,Y132,AB$10:AB132)-AB132&lt;4,SUMIF(Y$10:Y132,Y132,AB$10:AB132)&gt;=4))</f>
        <v/>
      </c>
      <c r="AD132" s="13" t="str">
        <f t="shared" si="32"/>
        <v/>
      </c>
      <c r="AE132" s="13" t="str">
        <f t="shared" si="33"/>
        <v/>
      </c>
    </row>
    <row r="133" spans="18:31" x14ac:dyDescent="0.25">
      <c r="R133" s="12"/>
      <c r="S133" s="12"/>
      <c r="T133" s="10" t="str" cm="1">
        <f t="array" ref="T133">IF(OR(X133&gt;SUM(C$6:I$6),Y132=Y133),"",INDEX(C$8:I$8,Y133))</f>
        <v/>
      </c>
      <c r="U133" s="11" t="str" cm="1">
        <f t="array" ref="U133">IF(X133&gt;SUM(C$6:I$6),"",IF(Z133=1,INDEX(C$5:I$5,Y133),U132+AB132/24+IF(AC132,0.5/24,0)+IF(AD132,8/(60*24),0)))</f>
        <v/>
      </c>
      <c r="V133" s="7" t="str" cm="1">
        <f t="array" ref="V133">IF(X133&gt;SUM(C$6:I$6),"",INDEX(B$10:B$29,AA133))&amp;IF(R133="","",";OVT")&amp;IF(S133="","",";Pay OVT Addition")</f>
        <v/>
      </c>
      <c r="W133" s="11" t="str">
        <f t="shared" si="28"/>
        <v/>
      </c>
      <c r="X133" s="7">
        <v>124</v>
      </c>
      <c r="Y133" s="7" t="str">
        <f t="shared" si="29"/>
        <v/>
      </c>
      <c r="Z133" s="7" t="str">
        <f t="shared" si="30"/>
        <v/>
      </c>
      <c r="AA133" s="7" t="str">
        <f t="shared" si="31"/>
        <v/>
      </c>
      <c r="AB133" s="8" t="str" cm="1">
        <f t="array" ref="AB133">IF(X133&gt;SUM(C$6:I$6),"",INDEX(C$10:I$29,AA133,Y133))</f>
        <v/>
      </c>
      <c r="AC133" s="13" t="str">
        <f>IF(X133&gt;SUM(C$6:I$6),"",AND(SUMIF(Y$10:Y133,Y133,AB$10:AB133)-AB133&lt;4,SUMIF(Y$10:Y133,Y133,AB$10:AB133)&gt;=4))</f>
        <v/>
      </c>
      <c r="AD133" s="13" t="str">
        <f t="shared" si="32"/>
        <v/>
      </c>
      <c r="AE133" s="13" t="str">
        <f t="shared" si="33"/>
        <v/>
      </c>
    </row>
    <row r="134" spans="18:31" x14ac:dyDescent="0.25">
      <c r="R134" s="12"/>
      <c r="S134" s="12"/>
      <c r="T134" s="10" t="str" cm="1">
        <f t="array" ref="T134">IF(OR(X134&gt;SUM(C$6:I$6),Y133=Y134),"",INDEX(C$8:I$8,Y134))</f>
        <v/>
      </c>
      <c r="U134" s="11" t="str" cm="1">
        <f t="array" ref="U134">IF(X134&gt;SUM(C$6:I$6),"",IF(Z134=1,INDEX(C$5:I$5,Y134),U133+AB133/24+IF(AC133,0.5/24,0)+IF(AD133,8/(60*24),0)))</f>
        <v/>
      </c>
      <c r="V134" s="7" t="str" cm="1">
        <f t="array" ref="V134">IF(X134&gt;SUM(C$6:I$6),"",INDEX(B$10:B$29,AA134))&amp;IF(R134="","",";OVT")&amp;IF(S134="","",";Pay OVT Addition")</f>
        <v/>
      </c>
      <c r="W134" s="11" t="str">
        <f t="shared" si="28"/>
        <v/>
      </c>
      <c r="X134" s="7">
        <v>125</v>
      </c>
      <c r="Y134" s="7" t="str">
        <f t="shared" si="29"/>
        <v/>
      </c>
      <c r="Z134" s="7" t="str">
        <f t="shared" si="30"/>
        <v/>
      </c>
      <c r="AA134" s="7" t="str">
        <f t="shared" si="31"/>
        <v/>
      </c>
      <c r="AB134" s="8" t="str" cm="1">
        <f t="array" ref="AB134">IF(X134&gt;SUM(C$6:I$6),"",INDEX(C$10:I$29,AA134,Y134))</f>
        <v/>
      </c>
      <c r="AC134" s="13" t="str">
        <f>IF(X134&gt;SUM(C$6:I$6),"",AND(SUMIF(Y$10:Y134,Y134,AB$10:AB134)-AB134&lt;4,SUMIF(Y$10:Y134,Y134,AB$10:AB134)&gt;=4))</f>
        <v/>
      </c>
      <c r="AD134" s="13" t="str">
        <f t="shared" si="32"/>
        <v/>
      </c>
      <c r="AE134" s="13" t="str">
        <f t="shared" si="33"/>
        <v/>
      </c>
    </row>
    <row r="135" spans="18:31" x14ac:dyDescent="0.25">
      <c r="R135" s="12"/>
      <c r="S135" s="12"/>
      <c r="T135" s="10" t="str" cm="1">
        <f t="array" ref="T135">IF(OR(X135&gt;SUM(C$6:I$6),Y134=Y135),"",INDEX(C$8:I$8,Y135))</f>
        <v/>
      </c>
      <c r="U135" s="11" t="str" cm="1">
        <f t="array" ref="U135">IF(X135&gt;SUM(C$6:I$6),"",IF(Z135=1,INDEX(C$5:I$5,Y135),U134+AB134/24+IF(AC134,0.5/24,0)+IF(AD134,8/(60*24),0)))</f>
        <v/>
      </c>
      <c r="V135" s="7" t="str" cm="1">
        <f t="array" ref="V135">IF(X135&gt;SUM(C$6:I$6),"",INDEX(B$10:B$29,AA135))&amp;IF(R135="","",";OVT")&amp;IF(S135="","",";Pay OVT Addition")</f>
        <v/>
      </c>
      <c r="W135" s="11" t="str">
        <f t="shared" si="28"/>
        <v/>
      </c>
      <c r="X135" s="7">
        <v>126</v>
      </c>
      <c r="Y135" s="7" t="str">
        <f t="shared" si="29"/>
        <v/>
      </c>
      <c r="Z135" s="7" t="str">
        <f t="shared" si="30"/>
        <v/>
      </c>
      <c r="AA135" s="7" t="str">
        <f t="shared" si="31"/>
        <v/>
      </c>
      <c r="AB135" s="8" t="str" cm="1">
        <f t="array" ref="AB135">IF(X135&gt;SUM(C$6:I$6),"",INDEX(C$10:I$29,AA135,Y135))</f>
        <v/>
      </c>
      <c r="AC135" s="13" t="str">
        <f>IF(X135&gt;SUM(C$6:I$6),"",AND(SUMIF(Y$10:Y135,Y135,AB$10:AB135)-AB135&lt;4,SUMIF(Y$10:Y135,Y135,AB$10:AB135)&gt;=4))</f>
        <v/>
      </c>
      <c r="AD135" s="13" t="str">
        <f t="shared" si="32"/>
        <v/>
      </c>
      <c r="AE135" s="13" t="str">
        <f t="shared" si="33"/>
        <v/>
      </c>
    </row>
    <row r="136" spans="18:31" x14ac:dyDescent="0.25">
      <c r="R136" s="12"/>
      <c r="S136" s="12"/>
      <c r="T136" s="10" t="str" cm="1">
        <f t="array" ref="T136">IF(OR(X136&gt;SUM(C$6:I$6),Y135=Y136),"",INDEX(C$8:I$8,Y136))</f>
        <v/>
      </c>
      <c r="U136" s="11" t="str" cm="1">
        <f t="array" ref="U136">IF(X136&gt;SUM(C$6:I$6),"",IF(Z136=1,INDEX(C$5:I$5,Y136),U135+AB135/24+IF(AC135,0.5/24,0)+IF(AD135,8/(60*24),0)))</f>
        <v/>
      </c>
      <c r="V136" s="7" t="str" cm="1">
        <f t="array" ref="V136">IF(X136&gt;SUM(C$6:I$6),"",INDEX(B$10:B$29,AA136))&amp;IF(R136="","",";OVT")&amp;IF(S136="","",";Pay OVT Addition")</f>
        <v/>
      </c>
      <c r="W136" s="11" t="str">
        <f t="shared" si="28"/>
        <v/>
      </c>
      <c r="X136" s="7">
        <v>127</v>
      </c>
      <c r="Y136" s="7" t="str">
        <f t="shared" si="29"/>
        <v/>
      </c>
      <c r="Z136" s="7" t="str">
        <f t="shared" si="30"/>
        <v/>
      </c>
      <c r="AA136" s="7" t="str">
        <f t="shared" si="31"/>
        <v/>
      </c>
      <c r="AB136" s="8" t="str" cm="1">
        <f t="array" ref="AB136">IF(X136&gt;SUM(C$6:I$6),"",INDEX(C$10:I$29,AA136,Y136))</f>
        <v/>
      </c>
      <c r="AC136" s="13" t="str">
        <f>IF(X136&gt;SUM(C$6:I$6),"",AND(SUMIF(Y$10:Y136,Y136,AB$10:AB136)-AB136&lt;4,SUMIF(Y$10:Y136,Y136,AB$10:AB136)&gt;=4))</f>
        <v/>
      </c>
      <c r="AD136" s="13" t="str">
        <f t="shared" si="32"/>
        <v/>
      </c>
      <c r="AE136" s="13" t="str">
        <f t="shared" si="33"/>
        <v/>
      </c>
    </row>
    <row r="137" spans="18:31" x14ac:dyDescent="0.25">
      <c r="R137" s="12"/>
      <c r="S137" s="12"/>
      <c r="T137" s="10" t="str" cm="1">
        <f t="array" ref="T137">IF(OR(X137&gt;SUM(C$6:I$6),Y136=Y137),"",INDEX(C$8:I$8,Y137))</f>
        <v/>
      </c>
      <c r="U137" s="11" t="str" cm="1">
        <f t="array" ref="U137">IF(X137&gt;SUM(C$6:I$6),"",IF(Z137=1,INDEX(C$5:I$5,Y137),U136+AB136/24+IF(AC136,0.5/24,0)+IF(AD136,8/(60*24),0)))</f>
        <v/>
      </c>
      <c r="V137" s="7" t="str" cm="1">
        <f t="array" ref="V137">IF(X137&gt;SUM(C$6:I$6),"",INDEX(B$10:B$29,AA137))&amp;IF(R137="","",";OVT")&amp;IF(S137="","",";Pay OVT Addition")</f>
        <v/>
      </c>
      <c r="W137" s="11" t="str">
        <f t="shared" si="28"/>
        <v/>
      </c>
      <c r="X137" s="7">
        <v>128</v>
      </c>
      <c r="Y137" s="7" t="str">
        <f t="shared" si="29"/>
        <v/>
      </c>
      <c r="Z137" s="7" t="str">
        <f t="shared" si="30"/>
        <v/>
      </c>
      <c r="AA137" s="7" t="str">
        <f t="shared" si="31"/>
        <v/>
      </c>
      <c r="AB137" s="8" t="str" cm="1">
        <f t="array" ref="AB137">IF(X137&gt;SUM(C$6:I$6),"",INDEX(C$10:I$29,AA137,Y137))</f>
        <v/>
      </c>
      <c r="AC137" s="13" t="str">
        <f>IF(X137&gt;SUM(C$6:I$6),"",AND(SUMIF(Y$10:Y137,Y137,AB$10:AB137)-AB137&lt;4,SUMIF(Y$10:Y137,Y137,AB$10:AB137)&gt;=4))</f>
        <v/>
      </c>
      <c r="AD137" s="13" t="str">
        <f t="shared" si="32"/>
        <v/>
      </c>
      <c r="AE137" s="13" t="str">
        <f t="shared" si="33"/>
        <v/>
      </c>
    </row>
    <row r="138" spans="18:31" x14ac:dyDescent="0.25">
      <c r="R138" s="12"/>
      <c r="S138" s="12"/>
      <c r="T138" s="10" t="str" cm="1">
        <f t="array" ref="T138">IF(OR(X138&gt;SUM(C$6:I$6),Y137=Y138),"",INDEX(C$8:I$8,Y138))</f>
        <v/>
      </c>
      <c r="U138" s="11" t="str" cm="1">
        <f t="array" ref="U138">IF(X138&gt;SUM(C$6:I$6),"",IF(Z138=1,INDEX(C$5:I$5,Y138),U137+AB137/24+IF(AC137,0.5/24,0)+IF(AD137,8/(60*24),0)))</f>
        <v/>
      </c>
      <c r="V138" s="7" t="str" cm="1">
        <f t="array" ref="V138">IF(X138&gt;SUM(C$6:I$6),"",INDEX(B$10:B$29,AA138))&amp;IF(R138="","",";OVT")&amp;IF(S138="","",";Pay OVT Addition")</f>
        <v/>
      </c>
      <c r="W138" s="11" t="str">
        <f t="shared" si="28"/>
        <v/>
      </c>
      <c r="X138" s="7">
        <v>129</v>
      </c>
      <c r="Y138" s="7" t="str">
        <f t="shared" si="29"/>
        <v/>
      </c>
      <c r="Z138" s="7" t="str">
        <f t="shared" si="30"/>
        <v/>
      </c>
      <c r="AA138" s="7" t="str">
        <f t="shared" si="31"/>
        <v/>
      </c>
      <c r="AB138" s="8" t="str" cm="1">
        <f t="array" ref="AB138">IF(X138&gt;SUM(C$6:I$6),"",INDEX(C$10:I$29,AA138,Y138))</f>
        <v/>
      </c>
      <c r="AC138" s="13" t="str">
        <f>IF(X138&gt;SUM(C$6:I$6),"",AND(SUMIF(Y$10:Y138,Y138,AB$10:AB138)-AB138&lt;4,SUMIF(Y$10:Y138,Y138,AB$10:AB138)&gt;=4))</f>
        <v/>
      </c>
      <c r="AD138" s="13" t="str">
        <f t="shared" si="32"/>
        <v/>
      </c>
      <c r="AE138" s="13" t="str">
        <f t="shared" si="33"/>
        <v/>
      </c>
    </row>
    <row r="139" spans="18:31" x14ac:dyDescent="0.25">
      <c r="R139" s="12"/>
      <c r="S139" s="12"/>
      <c r="T139" s="10" t="str" cm="1">
        <f t="array" ref="T139">IF(OR(X139&gt;SUM(C$6:I$6),Y138=Y139),"",INDEX(C$8:I$8,Y139))</f>
        <v/>
      </c>
      <c r="U139" s="11" t="str" cm="1">
        <f t="array" ref="U139">IF(X139&gt;SUM(C$6:I$6),"",IF(Z139=1,INDEX(C$5:I$5,Y139),U138+AB138/24+IF(AC138,0.5/24,0)+IF(AD138,8/(60*24),0)))</f>
        <v/>
      </c>
      <c r="V139" s="7" t="str" cm="1">
        <f t="array" ref="V139">IF(X139&gt;SUM(C$6:I$6),"",INDEX(B$10:B$29,AA139))&amp;IF(R139="","",";OVT")&amp;IF(S139="","",";Pay OVT Addition")</f>
        <v/>
      </c>
      <c r="W139" s="11" t="str">
        <f t="shared" si="28"/>
        <v/>
      </c>
      <c r="X139" s="7">
        <v>130</v>
      </c>
      <c r="Y139" s="7" t="str">
        <f t="shared" si="29"/>
        <v/>
      </c>
      <c r="Z139" s="7" t="str">
        <f t="shared" si="30"/>
        <v/>
      </c>
      <c r="AA139" s="7" t="str">
        <f t="shared" si="31"/>
        <v/>
      </c>
      <c r="AB139" s="8" t="str" cm="1">
        <f t="array" ref="AB139">IF(X139&gt;SUM(C$6:I$6),"",INDEX(C$10:I$29,AA139,Y139))</f>
        <v/>
      </c>
      <c r="AC139" s="13" t="str">
        <f>IF(X139&gt;SUM(C$6:I$6),"",AND(SUMIF(Y$10:Y139,Y139,AB$10:AB139)-AB139&lt;4,SUMIF(Y$10:Y139,Y139,AB$10:AB139)&gt;=4))</f>
        <v/>
      </c>
      <c r="AD139" s="13" t="str">
        <f t="shared" si="32"/>
        <v/>
      </c>
      <c r="AE139" s="13" t="str">
        <f t="shared" si="33"/>
        <v/>
      </c>
    </row>
    <row r="140" spans="18:31" x14ac:dyDescent="0.25">
      <c r="R140" s="12"/>
      <c r="S140" s="12"/>
      <c r="T140" s="10" t="str" cm="1">
        <f t="array" ref="T140">IF(OR(X140&gt;SUM(C$6:I$6),Y139=Y140),"",INDEX(C$8:I$8,Y140))</f>
        <v/>
      </c>
      <c r="U140" s="11" t="str" cm="1">
        <f t="array" ref="U140">IF(X140&gt;SUM(C$6:I$6),"",IF(Z140=1,INDEX(C$5:I$5,Y140),U139+AB139/24+IF(AC139,0.5/24,0)+IF(AD139,8/(60*24),0)))</f>
        <v/>
      </c>
      <c r="V140" s="7" t="str" cm="1">
        <f t="array" ref="V140">IF(X140&gt;SUM(C$6:I$6),"",INDEX(B$10:B$29,AA140))&amp;IF(R140="","",";OVT")&amp;IF(S140="","",";Pay OVT Addition")</f>
        <v/>
      </c>
      <c r="W140" s="11" t="str">
        <f t="shared" si="28"/>
        <v/>
      </c>
      <c r="X140" s="7">
        <v>131</v>
      </c>
      <c r="Y140" s="7" t="str">
        <f t="shared" si="29"/>
        <v/>
      </c>
      <c r="Z140" s="7" t="str">
        <f t="shared" si="30"/>
        <v/>
      </c>
      <c r="AA140" s="7" t="str">
        <f t="shared" si="31"/>
        <v/>
      </c>
      <c r="AB140" s="8" t="str" cm="1">
        <f t="array" ref="AB140">IF(X140&gt;SUM(C$6:I$6),"",INDEX(C$10:I$29,AA140,Y140))</f>
        <v/>
      </c>
      <c r="AC140" s="13" t="str">
        <f>IF(X140&gt;SUM(C$6:I$6),"",AND(SUMIF(Y$10:Y140,Y140,AB$10:AB140)-AB140&lt;4,SUMIF(Y$10:Y140,Y140,AB$10:AB140)&gt;=4))</f>
        <v/>
      </c>
      <c r="AD140" s="13" t="str">
        <f t="shared" si="32"/>
        <v/>
      </c>
      <c r="AE140" s="13" t="str">
        <f t="shared" si="33"/>
        <v/>
      </c>
    </row>
    <row r="141" spans="18:31" x14ac:dyDescent="0.25">
      <c r="R141" s="12"/>
      <c r="S141" s="12"/>
      <c r="T141" s="10" t="str" cm="1">
        <f t="array" ref="T141">IF(OR(X141&gt;SUM(C$6:I$6),Y140=Y141),"",INDEX(C$8:I$8,Y141))</f>
        <v/>
      </c>
      <c r="U141" s="11" t="str" cm="1">
        <f t="array" ref="U141">IF(X141&gt;SUM(C$6:I$6),"",IF(Z141=1,INDEX(C$5:I$5,Y141),U140+AB140/24+IF(AC140,0.5/24,0)+IF(AD140,8/(60*24),0)))</f>
        <v/>
      </c>
      <c r="V141" s="7" t="str" cm="1">
        <f t="array" ref="V141">IF(X141&gt;SUM(C$6:I$6),"",INDEX(B$10:B$29,AA141))&amp;IF(R141="","",";OVT")&amp;IF(S141="","",";Pay OVT Addition")</f>
        <v/>
      </c>
      <c r="W141" s="11" t="str">
        <f t="shared" si="28"/>
        <v/>
      </c>
      <c r="X141" s="7">
        <v>132</v>
      </c>
      <c r="Y141" s="7" t="str">
        <f t="shared" si="29"/>
        <v/>
      </c>
      <c r="Z141" s="7" t="str">
        <f t="shared" si="30"/>
        <v/>
      </c>
      <c r="AA141" s="7" t="str">
        <f t="shared" si="31"/>
        <v/>
      </c>
      <c r="AB141" s="8" t="str" cm="1">
        <f t="array" ref="AB141">IF(X141&gt;SUM(C$6:I$6),"",INDEX(C$10:I$29,AA141,Y141))</f>
        <v/>
      </c>
      <c r="AC141" s="13" t="str">
        <f>IF(X141&gt;SUM(C$6:I$6),"",AND(SUMIF(Y$10:Y141,Y141,AB$10:AB141)-AB141&lt;4,SUMIF(Y$10:Y141,Y141,AB$10:AB141)&gt;=4))</f>
        <v/>
      </c>
      <c r="AD141" s="13" t="str">
        <f t="shared" si="32"/>
        <v/>
      </c>
      <c r="AE141" s="13" t="str">
        <f t="shared" si="33"/>
        <v/>
      </c>
    </row>
    <row r="142" spans="18:31" x14ac:dyDescent="0.25">
      <c r="R142" s="12"/>
      <c r="S142" s="12"/>
      <c r="T142" s="10" t="str" cm="1">
        <f t="array" ref="T142">IF(OR(X142&gt;SUM(C$6:I$6),Y141=Y142),"",INDEX(C$8:I$8,Y142))</f>
        <v/>
      </c>
      <c r="U142" s="11" t="str" cm="1">
        <f t="array" ref="U142">IF(X142&gt;SUM(C$6:I$6),"",IF(Z142=1,INDEX(C$5:I$5,Y142),U141+AB141/24+IF(AC141,0.5/24,0)+IF(AD141,8/(60*24),0)))</f>
        <v/>
      </c>
      <c r="V142" s="7" t="str" cm="1">
        <f t="array" ref="V142">IF(X142&gt;SUM(C$6:I$6),"",INDEX(B$10:B$29,AA142))&amp;IF(R142="","",";OVT")&amp;IF(S142="","",";Pay OVT Addition")</f>
        <v/>
      </c>
      <c r="W142" s="11" t="str">
        <f t="shared" si="28"/>
        <v/>
      </c>
      <c r="X142" s="7">
        <v>133</v>
      </c>
      <c r="Y142" s="7" t="str">
        <f t="shared" si="29"/>
        <v/>
      </c>
      <c r="Z142" s="7" t="str">
        <f t="shared" si="30"/>
        <v/>
      </c>
      <c r="AA142" s="7" t="str">
        <f t="shared" si="31"/>
        <v/>
      </c>
      <c r="AB142" s="8" t="str" cm="1">
        <f t="array" ref="AB142">IF(X142&gt;SUM(C$6:I$6),"",INDEX(C$10:I$29,AA142,Y142))</f>
        <v/>
      </c>
      <c r="AC142" s="13" t="str">
        <f>IF(X142&gt;SUM(C$6:I$6),"",AND(SUMIF(Y$10:Y142,Y142,AB$10:AB142)-AB142&lt;4,SUMIF(Y$10:Y142,Y142,AB$10:AB142)&gt;=4))</f>
        <v/>
      </c>
      <c r="AD142" s="13" t="str">
        <f t="shared" si="32"/>
        <v/>
      </c>
      <c r="AE142" s="13" t="str">
        <f t="shared" si="33"/>
        <v/>
      </c>
    </row>
    <row r="143" spans="18:31" x14ac:dyDescent="0.25">
      <c r="R143" s="12"/>
      <c r="S143" s="12"/>
      <c r="T143" s="10" t="str" cm="1">
        <f t="array" ref="T143">IF(OR(X143&gt;SUM(C$6:I$6),Y142=Y143),"",INDEX(C$8:I$8,Y143))</f>
        <v/>
      </c>
      <c r="U143" s="11" t="str" cm="1">
        <f t="array" ref="U143">IF(X143&gt;SUM(C$6:I$6),"",IF(Z143=1,INDEX(C$5:I$5,Y143),U142+AB142/24+IF(AC142,0.5/24,0)+IF(AD142,8/(60*24),0)))</f>
        <v/>
      </c>
      <c r="V143" s="7" t="str" cm="1">
        <f t="array" ref="V143">IF(X143&gt;SUM(C$6:I$6),"",INDEX(B$10:B$29,AA143))&amp;IF(R143="","",";OVT")&amp;IF(S143="","",";Pay OVT Addition")</f>
        <v/>
      </c>
      <c r="W143" s="11" t="str">
        <f t="shared" si="28"/>
        <v/>
      </c>
      <c r="X143" s="7">
        <v>134</v>
      </c>
      <c r="Y143" s="7" t="str">
        <f t="shared" si="29"/>
        <v/>
      </c>
      <c r="Z143" s="7" t="str">
        <f t="shared" si="30"/>
        <v/>
      </c>
      <c r="AA143" s="7" t="str">
        <f t="shared" si="31"/>
        <v/>
      </c>
      <c r="AB143" s="8" t="str" cm="1">
        <f t="array" ref="AB143">IF(X143&gt;SUM(C$6:I$6),"",INDEX(C$10:I$29,AA143,Y143))</f>
        <v/>
      </c>
      <c r="AC143" s="13" t="str">
        <f>IF(X143&gt;SUM(C$6:I$6),"",AND(SUMIF(Y$10:Y143,Y143,AB$10:AB143)-AB143&lt;4,SUMIF(Y$10:Y143,Y143,AB$10:AB143)&gt;=4))</f>
        <v/>
      </c>
      <c r="AD143" s="13" t="str">
        <f t="shared" si="32"/>
        <v/>
      </c>
      <c r="AE143" s="13" t="str">
        <f t="shared" si="33"/>
        <v/>
      </c>
    </row>
    <row r="144" spans="18:31" x14ac:dyDescent="0.25">
      <c r="R144" s="12"/>
      <c r="S144" s="12"/>
      <c r="T144" s="10" t="str" cm="1">
        <f t="array" ref="T144">IF(OR(X144&gt;SUM(C$6:I$6),Y143=Y144),"",INDEX(C$8:I$8,Y144))</f>
        <v/>
      </c>
      <c r="U144" s="11" t="str" cm="1">
        <f t="array" ref="U144">IF(X144&gt;SUM(C$6:I$6),"",IF(Z144=1,INDEX(C$5:I$5,Y144),U143+AB143/24+IF(AC143,0.5/24,0)+IF(AD143,8/(60*24),0)))</f>
        <v/>
      </c>
      <c r="V144" s="7" t="str" cm="1">
        <f t="array" ref="V144">IF(X144&gt;SUM(C$6:I$6),"",INDEX(B$10:B$29,AA144))&amp;IF(R144="","",";OVT")&amp;IF(S144="","",";Pay OVT Addition")</f>
        <v/>
      </c>
      <c r="W144" s="11" t="str">
        <f t="shared" si="28"/>
        <v/>
      </c>
      <c r="X144" s="7">
        <v>135</v>
      </c>
      <c r="Y144" s="7" t="str">
        <f t="shared" si="29"/>
        <v/>
      </c>
      <c r="Z144" s="7" t="str">
        <f t="shared" si="30"/>
        <v/>
      </c>
      <c r="AA144" s="7" t="str">
        <f t="shared" si="31"/>
        <v/>
      </c>
      <c r="AB144" s="8" t="str" cm="1">
        <f t="array" ref="AB144">IF(X144&gt;SUM(C$6:I$6),"",INDEX(C$10:I$29,AA144,Y144))</f>
        <v/>
      </c>
      <c r="AC144" s="13" t="str">
        <f>IF(X144&gt;SUM(C$6:I$6),"",AND(SUMIF(Y$10:Y144,Y144,AB$10:AB144)-AB144&lt;4,SUMIF(Y$10:Y144,Y144,AB$10:AB144)&gt;=4))</f>
        <v/>
      </c>
      <c r="AD144" s="13" t="str">
        <f t="shared" si="32"/>
        <v/>
      </c>
      <c r="AE144" s="13" t="str">
        <f t="shared" si="33"/>
        <v/>
      </c>
    </row>
    <row r="145" spans="18:31" x14ac:dyDescent="0.25">
      <c r="R145" s="12"/>
      <c r="S145" s="12"/>
      <c r="T145" s="10" t="str" cm="1">
        <f t="array" ref="T145">IF(OR(X145&gt;SUM(C$6:I$6),Y144=Y145),"",INDEX(C$8:I$8,Y145))</f>
        <v/>
      </c>
      <c r="U145" s="11" t="str" cm="1">
        <f t="array" ref="U145">IF(X145&gt;SUM(C$6:I$6),"",IF(Z145=1,INDEX(C$5:I$5,Y145),U144+AB144/24+IF(AC144,0.5/24,0)+IF(AD144,8/(60*24),0)))</f>
        <v/>
      </c>
      <c r="V145" s="7" t="str" cm="1">
        <f t="array" ref="V145">IF(X145&gt;SUM(C$6:I$6),"",INDEX(B$10:B$29,AA145))&amp;IF(R145="","",";OVT")&amp;IF(S145="","",";Pay OVT Addition")</f>
        <v/>
      </c>
      <c r="W145" s="11" t="str">
        <f t="shared" si="28"/>
        <v/>
      </c>
      <c r="X145" s="7">
        <v>136</v>
      </c>
      <c r="Y145" s="7" t="str">
        <f t="shared" si="29"/>
        <v/>
      </c>
      <c r="Z145" s="7" t="str">
        <f t="shared" si="30"/>
        <v/>
      </c>
      <c r="AA145" s="7" t="str">
        <f t="shared" si="31"/>
        <v/>
      </c>
      <c r="AB145" s="8" t="str" cm="1">
        <f t="array" ref="AB145">IF(X145&gt;SUM(C$6:I$6),"",INDEX(C$10:I$29,AA145,Y145))</f>
        <v/>
      </c>
      <c r="AC145" s="13" t="str">
        <f>IF(X145&gt;SUM(C$6:I$6),"",AND(SUMIF(Y$10:Y145,Y145,AB$10:AB145)-AB145&lt;4,SUMIF(Y$10:Y145,Y145,AB$10:AB145)&gt;=4))</f>
        <v/>
      </c>
      <c r="AD145" s="13" t="str">
        <f t="shared" si="32"/>
        <v/>
      </c>
      <c r="AE145" s="13" t="str">
        <f t="shared" si="33"/>
        <v/>
      </c>
    </row>
    <row r="146" spans="18:31" x14ac:dyDescent="0.25">
      <c r="R146" s="12"/>
      <c r="S146" s="12"/>
      <c r="T146" s="10" t="str" cm="1">
        <f t="array" ref="T146">IF(OR(X146&gt;SUM(C$6:I$6),Y145=Y146),"",INDEX(C$8:I$8,Y146))</f>
        <v/>
      </c>
      <c r="U146" s="11" t="str" cm="1">
        <f t="array" ref="U146">IF(X146&gt;SUM(C$6:I$6),"",IF(Z146=1,INDEX(C$5:I$5,Y146),U145+AB145/24+IF(AC145,0.5/24,0)+IF(AD145,8/(60*24),0)))</f>
        <v/>
      </c>
      <c r="V146" s="7" t="str" cm="1">
        <f t="array" ref="V146">IF(X146&gt;SUM(C$6:I$6),"",INDEX(B$10:B$29,AA146))&amp;IF(R146="","",";OVT")&amp;IF(S146="","",";Pay OVT Addition")</f>
        <v/>
      </c>
      <c r="W146" s="11" t="str">
        <f t="shared" si="28"/>
        <v/>
      </c>
      <c r="X146" s="7">
        <v>137</v>
      </c>
      <c r="Y146" s="7" t="str">
        <f t="shared" si="29"/>
        <v/>
      </c>
      <c r="Z146" s="7" t="str">
        <f t="shared" si="30"/>
        <v/>
      </c>
      <c r="AA146" s="7" t="str">
        <f t="shared" si="31"/>
        <v/>
      </c>
      <c r="AB146" s="8" t="str" cm="1">
        <f t="array" ref="AB146">IF(X146&gt;SUM(C$6:I$6),"",INDEX(C$10:I$29,AA146,Y146))</f>
        <v/>
      </c>
      <c r="AC146" s="13" t="str">
        <f>IF(X146&gt;SUM(C$6:I$6),"",AND(SUMIF(Y$10:Y146,Y146,AB$10:AB146)-AB146&lt;4,SUMIF(Y$10:Y146,Y146,AB$10:AB146)&gt;=4))</f>
        <v/>
      </c>
      <c r="AD146" s="13" t="str">
        <f t="shared" si="32"/>
        <v/>
      </c>
      <c r="AE146" s="13" t="str">
        <f t="shared" si="33"/>
        <v/>
      </c>
    </row>
    <row r="147" spans="18:31" x14ac:dyDescent="0.25">
      <c r="R147" s="12"/>
      <c r="S147" s="12"/>
      <c r="T147" s="10" t="str" cm="1">
        <f t="array" ref="T147">IF(OR(X147&gt;SUM(C$6:I$6),Y146=Y147),"",INDEX(C$8:I$8,Y147))</f>
        <v/>
      </c>
      <c r="U147" s="11" t="str" cm="1">
        <f t="array" ref="U147">IF(X147&gt;SUM(C$6:I$6),"",IF(Z147=1,INDEX(C$5:I$5,Y147),U146+AB146/24+IF(AC146,0.5/24,0)+IF(AD146,8/(60*24),0)))</f>
        <v/>
      </c>
      <c r="V147" s="7" t="str" cm="1">
        <f t="array" ref="V147">IF(X147&gt;SUM(C$6:I$6),"",INDEX(B$10:B$29,AA147))&amp;IF(R147="","",";OVT")&amp;IF(S147="","",";Pay OVT Addition")</f>
        <v/>
      </c>
      <c r="W147" s="11" t="str">
        <f t="shared" si="28"/>
        <v/>
      </c>
      <c r="X147" s="7">
        <v>138</v>
      </c>
      <c r="Y147" s="7" t="str">
        <f t="shared" si="29"/>
        <v/>
      </c>
      <c r="Z147" s="7" t="str">
        <f t="shared" si="30"/>
        <v/>
      </c>
      <c r="AA147" s="7" t="str">
        <f t="shared" si="31"/>
        <v/>
      </c>
      <c r="AB147" s="8" t="str" cm="1">
        <f t="array" ref="AB147">IF(X147&gt;SUM(C$6:I$6),"",INDEX(C$10:I$29,AA147,Y147))</f>
        <v/>
      </c>
      <c r="AC147" s="13" t="str">
        <f>IF(X147&gt;SUM(C$6:I$6),"",AND(SUMIF(Y$10:Y147,Y147,AB$10:AB147)-AB147&lt;4,SUMIF(Y$10:Y147,Y147,AB$10:AB147)&gt;=4))</f>
        <v/>
      </c>
      <c r="AD147" s="13" t="str">
        <f t="shared" si="32"/>
        <v/>
      </c>
      <c r="AE147" s="13" t="str">
        <f t="shared" si="33"/>
        <v/>
      </c>
    </row>
    <row r="148" spans="18:31" x14ac:dyDescent="0.25">
      <c r="R148" s="12"/>
      <c r="S148" s="12"/>
      <c r="T148" s="10" t="str" cm="1">
        <f t="array" ref="T148">IF(OR(X148&gt;SUM(C$6:I$6),Y147=Y148),"",INDEX(C$8:I$8,Y148))</f>
        <v/>
      </c>
      <c r="U148" s="11" t="str" cm="1">
        <f t="array" ref="U148">IF(X148&gt;SUM(C$6:I$6),"",IF(Z148=1,INDEX(C$5:I$5,Y148),U147+AB147/24+IF(AC147,0.5/24,0)+IF(AD147,8/(60*24),0)))</f>
        <v/>
      </c>
      <c r="V148" s="7" t="str" cm="1">
        <f t="array" ref="V148">IF(X148&gt;SUM(C$6:I$6),"",INDEX(B$10:B$29,AA148))&amp;IF(R148="","",";OVT")&amp;IF(S148="","",";Pay OVT Addition")</f>
        <v/>
      </c>
      <c r="W148" s="11" t="str">
        <f t="shared" si="28"/>
        <v/>
      </c>
      <c r="X148" s="7">
        <v>139</v>
      </c>
      <c r="Y148" s="7" t="str">
        <f t="shared" si="29"/>
        <v/>
      </c>
      <c r="Z148" s="7" t="str">
        <f t="shared" si="30"/>
        <v/>
      </c>
      <c r="AA148" s="7" t="str">
        <f t="shared" si="31"/>
        <v/>
      </c>
      <c r="AB148" s="8" t="str" cm="1">
        <f t="array" ref="AB148">IF(X148&gt;SUM(C$6:I$6),"",INDEX(C$10:I$29,AA148,Y148))</f>
        <v/>
      </c>
      <c r="AC148" s="13" t="str">
        <f>IF(X148&gt;SUM(C$6:I$6),"",AND(SUMIF(Y$10:Y148,Y148,AB$10:AB148)-AB148&lt;4,SUMIF(Y$10:Y148,Y148,AB$10:AB148)&gt;=4))</f>
        <v/>
      </c>
      <c r="AD148" s="13" t="str">
        <f t="shared" si="32"/>
        <v/>
      </c>
      <c r="AE148" s="13" t="str">
        <f t="shared" si="33"/>
        <v/>
      </c>
    </row>
    <row r="149" spans="18:31" x14ac:dyDescent="0.25">
      <c r="R149" s="12"/>
      <c r="S149" s="12"/>
      <c r="T149" s="10" t="str" cm="1">
        <f t="array" ref="T149">IF(OR(X149&gt;SUM(C$6:I$6),Y148=Y149),"",INDEX(C$8:I$8,Y149))</f>
        <v/>
      </c>
      <c r="U149" s="11" t="str" cm="1">
        <f t="array" ref="U149">IF(X149&gt;SUM(C$6:I$6),"",IF(Z149=1,INDEX(C$5:I$5,Y149),U148+AB148/24+IF(AC148,0.5/24,0)+IF(AD148,8/(60*24),0)))</f>
        <v/>
      </c>
      <c r="V149" s="7" t="str" cm="1">
        <f t="array" ref="V149">IF(X149&gt;SUM(C$6:I$6),"",INDEX(B$10:B$29,AA149))&amp;IF(R149="","",";OVT")&amp;IF(S149="","",";Pay OVT Addition")</f>
        <v/>
      </c>
      <c r="W149" s="11" t="str">
        <f t="shared" ref="W149" si="34">IF(OR(X149&gt;SUM(C$6:I$6),Y149=Y150),"",U149+AB149/24+IF(AC149,0.5/24,0)+IF(AD149,8/(60*24),0))</f>
        <v/>
      </c>
      <c r="X149" s="7">
        <v>140</v>
      </c>
      <c r="Y149" s="7" t="str">
        <f t="shared" ref="Y149" si="35">IF(X149&gt;SUM(C$6:I$6),"",MATCH(X149-1,J$6:P$6,1))</f>
        <v/>
      </c>
      <c r="Z149" s="7" t="str">
        <f t="shared" ref="Z149" si="36">IF(X149&gt;SUM(C$6:I$6),"",IF(Y149=Y148,Z148+1,1))</f>
        <v/>
      </c>
      <c r="AA149" s="7" t="str">
        <f t="shared" ref="AA149" si="37">IF(X149&gt;SUM(C$6:I$6),"",MATCH(Z149,CHOOSE(Y149,J$10:J$29,K$10:K$29,L$10:L$29,M$10:M$29,N$10:N$29,O$10:O$29,P$10:P$29),0))</f>
        <v/>
      </c>
      <c r="AB149" s="8" t="str" cm="1">
        <f t="array" ref="AB149">IF(X149&gt;SUM(C$6:I$6),"",INDEX(C$10:I$29,AA149,Y149))</f>
        <v/>
      </c>
      <c r="AC149" s="13" t="str">
        <f>IF(X149&gt;SUM(C$6:I$6),"",AND(SUMIF(Y$10:Y149,Y149,AB$10:AB149)-AB149&lt;4,SUMIF(Y$10:Y149,Y149,AB$10:AB149)&gt;=4))</f>
        <v/>
      </c>
      <c r="AD149" s="13" t="str">
        <f t="shared" ref="AD149" si="38">IF(X149&gt;SUM(C$6:I$6),"",AND($C$4,Z149=1))</f>
        <v/>
      </c>
      <c r="AE149" s="13" t="str">
        <f t="shared" ref="AE149" si="39">IF(X149&gt;SUM(C$6:I$6),"",OR(SUMIF(Y$10:Y$39,Y149,AB$10:AB$39)&gt;7.5,Y149&gt;5,_xlfn.MAXIFS(W$10:W$39,Y$10:Y$39,Y149)&gt;21/24))</f>
        <v/>
      </c>
    </row>
  </sheetData>
  <conditionalFormatting sqref="R10:S149">
    <cfRule type="expression" dxfId="0" priority="1">
      <formula>$AE10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nyuke_Click">
                <anchor moveWithCells="1" sizeWithCells="1">
                  <from>
                    <xdr:col>6</xdr:col>
                    <xdr:colOff>28575</xdr:colOff>
                    <xdr:row>0</xdr:row>
                    <xdr:rowOff>133350</xdr:rowOff>
                  </from>
                  <to>
                    <xdr:col>8</xdr:col>
                    <xdr:colOff>28575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__all__</vt:lpstr>
      <vt:lpstr>Uke 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Truls Edvardsen Aarønes</dc:creator>
  <cp:lastModifiedBy>Truls</cp:lastModifiedBy>
  <dcterms:created xsi:type="dcterms:W3CDTF">2022-03-02T14:45:45Z</dcterms:created>
  <dcterms:modified xsi:type="dcterms:W3CDTF">2022-05-06T09:18:30Z</dcterms:modified>
</cp:coreProperties>
</file>